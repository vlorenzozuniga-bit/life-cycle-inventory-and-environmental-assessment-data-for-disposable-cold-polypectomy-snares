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Vicente/Desktop/"/>
    </mc:Choice>
  </mc:AlternateContent>
  <xr:revisionPtr revIDLastSave="0" documentId="8_{D7152327-569B-5148-A021-452882AE90D8}" xr6:coauthVersionLast="47" xr6:coauthVersionMax="47" xr10:uidLastSave="{00000000-0000-0000-0000-000000000000}"/>
  <bookViews>
    <workbookView xWindow="0" yWindow="660" windowWidth="30240" windowHeight="17440" activeTab="8" xr2:uid="{00000000-000D-0000-FFFF-FFFF00000000}"/>
  </bookViews>
  <sheets>
    <sheet name="README" sheetId="1" r:id="rId1"/>
    <sheet name="Physical_inventory" sheetId="2" r:id="rId2"/>
    <sheet name="Foreground_LCI" sheetId="3" r:id="rId3"/>
    <sheet name="Transport_EOL" sheetId="4" r:id="rId4"/>
    <sheet name="Carbon_results" sheetId="5" r:id="rId5"/>
    <sheet name="Stage_contributions" sheetId="6" r:id="rId6"/>
    <sheet name="Sensitivity" sheetId="7" r:id="rId7"/>
    <sheet name="MCDA" sheetId="8" r:id="rId8"/>
    <sheet name="Institutional_scenario" sheetId="9" r:id="rId9"/>
    <sheet name="Data_dictionary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E5" i="9" s="1"/>
  <c r="B4" i="9"/>
  <c r="E4" i="9" s="1"/>
  <c r="B3" i="9"/>
  <c r="E3" i="9" s="1"/>
  <c r="B2" i="9"/>
  <c r="E2" i="9" s="1"/>
  <c r="M3" i="8"/>
  <c r="M5" i="8" s="1"/>
  <c r="L3" i="8"/>
  <c r="L5" i="8" s="1"/>
  <c r="K3" i="8"/>
  <c r="K5" i="8" s="1"/>
  <c r="J3" i="8"/>
  <c r="J5" i="8" s="1"/>
  <c r="M2" i="8"/>
  <c r="M4" i="8" s="1"/>
  <c r="L2" i="8"/>
  <c r="L4" i="8" s="1"/>
  <c r="K2" i="8"/>
  <c r="K4" i="8" s="1"/>
  <c r="J2" i="8"/>
  <c r="J4" i="8" s="1"/>
  <c r="F5" i="6"/>
  <c r="F4" i="6"/>
  <c r="F3" i="6"/>
  <c r="F2" i="6"/>
  <c r="F5" i="5"/>
  <c r="E5" i="5"/>
  <c r="F4" i="5"/>
  <c r="E4" i="5"/>
  <c r="F3" i="5"/>
  <c r="E3" i="5"/>
  <c r="F2" i="5"/>
  <c r="E2" i="5"/>
  <c r="F6" i="8" l="1"/>
  <c r="F5" i="8"/>
  <c r="F4" i="8"/>
  <c r="F3" i="8"/>
  <c r="F2" i="8"/>
  <c r="E6" i="8"/>
  <c r="E5" i="8"/>
  <c r="E4" i="8"/>
  <c r="E3" i="8"/>
  <c r="E2" i="8"/>
  <c r="C6" i="8"/>
  <c r="C5" i="8"/>
  <c r="C4" i="8"/>
  <c r="C3" i="8"/>
  <c r="C2" i="8"/>
  <c r="D6" i="8"/>
  <c r="D5" i="8"/>
  <c r="D4" i="8"/>
  <c r="D3" i="8"/>
  <c r="D2" i="8"/>
</calcChain>
</file>

<file path=xl/sharedStrings.xml><?xml version="1.0" encoding="utf-8"?>
<sst xmlns="http://schemas.openxmlformats.org/spreadsheetml/2006/main" count="672" uniqueCount="246">
  <si>
    <t>Repository dataset — disposable cold polypectomy snares</t>
  </si>
  <si>
    <t>Dataset title</t>
  </si>
  <si>
    <t>Life cycle inventory and environmental assessment data for disposable cold polypectomy snares</t>
  </si>
  <si>
    <t>Related manuscript</t>
  </si>
  <si>
    <t>Carbon footprint and acquisition cost of disposable cold polypectomy snares: implications for cleaner production and sustainable healthcare procurement</t>
  </si>
  <si>
    <t>Functional unit</t>
  </si>
  <si>
    <t>One single-use cold polypectomy snare per endoscopic resection</t>
  </si>
  <si>
    <t>System boundary</t>
  </si>
  <si>
    <t>Cradle-to-grave: materials, transformation/assembly, packaging, transport and end-of-life. Endoscopic equipment/procedure excluded as common to all devices.</t>
  </si>
  <si>
    <t>LCIA method</t>
  </si>
  <si>
    <t>ReCiPe 2016 Midpoint (H), climate-change category; kg CO₂e per functional unit</t>
  </si>
  <si>
    <t>SimaPro version</t>
  </si>
  <si>
    <t>9.6.0.1</t>
  </si>
  <si>
    <t>Background system model</t>
  </si>
  <si>
    <t>ecoinvent Cut-off, as identified in the supplied SimaPro exports</t>
  </si>
  <si>
    <t>Cross-platform check</t>
  </si>
  <si>
    <t>openLCA implementation using the same functional unit and foreground modelling framework</t>
  </si>
  <si>
    <t>Primary data</t>
  </si>
  <si>
    <t>Measured component and packaging masses; material identification (ATR-FTIR for polymers and EDX for metals, as described in manuscript)</t>
  </si>
  <si>
    <t>Secondary data</t>
  </si>
  <si>
    <t>Background material production, transformation, freight and end-of-life processes</t>
  </si>
  <si>
    <t>Important Snare B note</t>
  </si>
  <si>
    <t>Measured PTFE-containing tubing mass is reported in Physical_inventory. The SimaPro foreground model uses 1.175 g tetrafluoroethylene as a background modelling input for the PTFE-related contribution; it is not the measured PTFE component mass.</t>
  </si>
  <si>
    <t>Important Snare D note</t>
  </si>
  <si>
    <t>The original physical-measurement workbook contains a corrupted steel-mass cell. The 6.86 g steel mass and 40.41 g total used here are taken from the validated LCA foreground model/source export.</t>
  </si>
  <si>
    <t>Proprietary data note</t>
  </si>
  <si>
    <t>This workbook reports foreground quantities and the names of background datasets/processes used. It does not redistribute proprietary ecoinvent inventory contents.</t>
  </si>
  <si>
    <t>Interpretation</t>
  </si>
  <si>
    <t>Carbon-footprint estimates are model-based comparative estimates, not direct measurements of manufacturer emissions. Manufacturer-specific energy use, production yields and logistics were unavailable.</t>
  </si>
  <si>
    <t>Sheets</t>
  </si>
  <si>
    <t>Physical_inventory = measured component masses; Foreground_LCI = SimaPro foreground inputs; Transport_EOL = documented assumptions; Carbon_results = platform results and costs; Stage_contributions = published stage shares; Sensitivity = scenario analysis; MCDA = cost-carbon weighting; Institutional_scenario = 3,200 snares/year extrapolation; Data_dictionary = field definitions.</t>
  </si>
  <si>
    <t>Snare</t>
  </si>
  <si>
    <t>Manufacturer</t>
  </si>
  <si>
    <t>Reference</t>
  </si>
  <si>
    <t>Component</t>
  </si>
  <si>
    <t>Material</t>
  </si>
  <si>
    <t>Mass_g</t>
  </si>
  <si>
    <t>Classification</t>
  </si>
  <si>
    <t>Data note</t>
  </si>
  <si>
    <t>A</t>
  </si>
  <si>
    <t>mdd GmbH</t>
  </si>
  <si>
    <t>MST-CS-24-02-10-230</t>
  </si>
  <si>
    <t>Handle</t>
  </si>
  <si>
    <t>ABS</t>
  </si>
  <si>
    <t>Device</t>
  </si>
  <si>
    <t>Primary measurement</t>
  </si>
  <si>
    <t>Packaging reverse</t>
  </si>
  <si>
    <t>Cellophane / cellulose</t>
  </si>
  <si>
    <t>Packaging</t>
  </si>
  <si>
    <t>Tubing</t>
  </si>
  <si>
    <t>PE (LD)</t>
  </si>
  <si>
    <t>Packaging front</t>
  </si>
  <si>
    <t>PP</t>
  </si>
  <si>
    <t>Flexible grey tubing</t>
  </si>
  <si>
    <t>PU</t>
  </si>
  <si>
    <t>Plastic covering</t>
  </si>
  <si>
    <t>Metal cable</t>
  </si>
  <si>
    <t>Stainless steel</t>
  </si>
  <si>
    <t>Gold-coloured metal</t>
  </si>
  <si>
    <t>Brass</t>
  </si>
  <si>
    <t>Silver-coloured metal</t>
  </si>
  <si>
    <t>B</t>
  </si>
  <si>
    <t>Olympus</t>
  </si>
  <si>
    <t>SD-400U-10</t>
  </si>
  <si>
    <t>White handle</t>
  </si>
  <si>
    <t>Plastic tubing</t>
  </si>
  <si>
    <t>PTFE</t>
  </si>
  <si>
    <t>Primary measurement; see README note on LCA modelling input</t>
  </si>
  <si>
    <t>PET</t>
  </si>
  <si>
    <t>Blue component</t>
  </si>
  <si>
    <t>Transparent component</t>
  </si>
  <si>
    <t>EVA</t>
  </si>
  <si>
    <t>Small tubing</t>
  </si>
  <si>
    <t>C</t>
  </si>
  <si>
    <t>Boston Scientific</t>
  </si>
  <si>
    <t>M00561100</t>
  </si>
  <si>
    <t>Thread</t>
  </si>
  <si>
    <t>Transparent tubing</t>
  </si>
  <si>
    <t>PA-12</t>
  </si>
  <si>
    <t>D</t>
  </si>
  <si>
    <t>Steris</t>
  </si>
  <si>
    <t>711115</t>
  </si>
  <si>
    <t>LCA source model mass; original measurement workbook cell is corrupted</t>
  </si>
  <si>
    <t>Model_element</t>
  </si>
  <si>
    <t>Background_dataset_or_process</t>
  </si>
  <si>
    <t>Amount</t>
  </si>
  <si>
    <t>Unit</t>
  </si>
  <si>
    <t>Model_comment</t>
  </si>
  <si>
    <t>Acrylonitrile-butadiene-styrene copolymer {GLO}| market for acrylonitrile-butadiene-styrene copolymer | Cut-off, U</t>
  </si>
  <si>
    <t>g</t>
  </si>
  <si>
    <t>Material - handle</t>
  </si>
  <si>
    <t>Polypropylene, granulate {GLO}| market for polypropylene, granulate | Cut-off, U</t>
  </si>
  <si>
    <t>Material - packaging, plastic covering</t>
  </si>
  <si>
    <t>Polyethylene, low density, granulate {GLO}| market for polyethylene, low density, granulate | Cut-off, U</t>
  </si>
  <si>
    <t>Material - tubing</t>
  </si>
  <si>
    <t>Polyurethane, flexible foam, flame retardant {GLO}| market for polyurethane, flexible foam, flame retardant | Cut-off, U</t>
  </si>
  <si>
    <t>Material - tubing (grey flexible)</t>
  </si>
  <si>
    <t>Steel, chromium steel 18/8, hot rolled {GLO}| market for steel, chromium steel 18/8, hot rolled | Cut-off, U</t>
  </si>
  <si>
    <t>Material - snare, plated metal (silver colored)</t>
  </si>
  <si>
    <t>Brass {RoW}| market for brass | Cut-off, U</t>
  </si>
  <si>
    <t>Material - plated metal (gold colored)</t>
  </si>
  <si>
    <t>Cellulose fibre {RoW}| cellulose fibre production | Cut-off, U</t>
  </si>
  <si>
    <t>Material - packaging (cellophane)</t>
  </si>
  <si>
    <t>Manufacturing / transformation</t>
  </si>
  <si>
    <t>Injection moulding {GLO}| market for injection moulding | Cut-off, U</t>
  </si>
  <si>
    <t>Process - handle</t>
  </si>
  <si>
    <t>Extrusion, plastic film {GLO}| market for extrusion, plastic film | Cut-off, U</t>
  </si>
  <si>
    <t>Process - packaging, front and back</t>
  </si>
  <si>
    <t>Blow moulding {GLO}| market for blow moulding | Cut-off, U</t>
  </si>
  <si>
    <t>Process - tubing, grey flexible tubing, plastic covering</t>
  </si>
  <si>
    <t>Wire drawing, steel {GLO}| market for wire drawing, steel | Cut-off, U</t>
  </si>
  <si>
    <t>Process - snare, plated metal (silver colored)</t>
  </si>
  <si>
    <t>Process - plated metal (gold colored)</t>
  </si>
  <si>
    <t>Transport</t>
  </si>
  <si>
    <t>Transport, freight, lorry 7.5-16 metric ton, EURO6 {RoW}| market for transport, freight, lorry 7.5-16 metric ton, EURO6 | Cut-off, U</t>
  </si>
  <si>
    <t>kgkm</t>
  </si>
  <si>
    <t>Transport - road 306 km</t>
  </si>
  <si>
    <t>Transport, freight, sea, container ship {GLO}| market for transport, freight, sea, container ship | Cut-off, U</t>
  </si>
  <si>
    <t>Transport - sea 20,000 km</t>
  </si>
  <si>
    <t>End-of-life</t>
  </si>
  <si>
    <t>Waste plastic, mixture {GLO}| treatment of waste plastic, mixture, municipal incineration | Cut-off, U</t>
  </si>
  <si>
    <t>End-of-life proxy</t>
  </si>
  <si>
    <t>Material - handle (white), blue part</t>
  </si>
  <si>
    <t>Tetrafluoroethylene {GLO}| market for tetrafluoroethylene | Cut-off, U</t>
  </si>
  <si>
    <t>PTFE-related background modelling input; not measured PTFE component mass</t>
  </si>
  <si>
    <t>Polyethylene terephthalate, granulate, amorphous {GLO}| market for polyethylene terephthalate, granulate, amorphous | Cut-off, U</t>
  </si>
  <si>
    <t>Material - packaging (front)</t>
  </si>
  <si>
    <t>Material - packaging (back)</t>
  </si>
  <si>
    <t>Ethylene vinyl acetate copolymer {RoW}| market for ethylene vinyl acetate copolymer | Cut-off, U</t>
  </si>
  <si>
    <t>Material - transparent part</t>
  </si>
  <si>
    <t>Material - metal snare, silver colored metal</t>
  </si>
  <si>
    <t>Process - handle, blue part, transparent part</t>
  </si>
  <si>
    <t>Process - plastic tubing, small tube</t>
  </si>
  <si>
    <t>Process - packaging (front/back)</t>
  </si>
  <si>
    <t>Process - metal snare, silver colored metal</t>
  </si>
  <si>
    <t>Transport - sea 21,000 km</t>
  </si>
  <si>
    <t>Transport - road 6 km</t>
  </si>
  <si>
    <t>Material - handle, thread</t>
  </si>
  <si>
    <t>Material - packaging (back), plastic tubing, small tubing</t>
  </si>
  <si>
    <t>Nylon 6-6 {RoW}| market for nylon 6-6 | Cut-off, U</t>
  </si>
  <si>
    <t>Material - transparent tubing</t>
  </si>
  <si>
    <t>Material - snare, metal (silver colored)</t>
  </si>
  <si>
    <t>Material - metal (gold colored)</t>
  </si>
  <si>
    <t>Process - packaging front and back</t>
  </si>
  <si>
    <t>Process - all tubing, thread</t>
  </si>
  <si>
    <t>Casting, brass {GLO}| market for casting, brass | Cut-off, U</t>
  </si>
  <si>
    <t>Process - metal (gold colored)</t>
  </si>
  <si>
    <t>Process - metal (silver colored), snare</t>
  </si>
  <si>
    <t>Transport - sea 8,500 km</t>
  </si>
  <si>
    <t>Transport - road 166 km</t>
  </si>
  <si>
    <t>Material - packaging (front and back), tube</t>
  </si>
  <si>
    <t>Material - snare</t>
  </si>
  <si>
    <t>Process - packaging (front and back), tube</t>
  </si>
  <si>
    <t>Process - snare</t>
  </si>
  <si>
    <t>Transport - road 956 km</t>
  </si>
  <si>
    <t>Transport - sea 6,000 km</t>
  </si>
  <si>
    <t>Sea_distance_km</t>
  </si>
  <si>
    <t>Sea_freight_kgkm</t>
  </si>
  <si>
    <t>Road_distance_km</t>
  </si>
  <si>
    <t>Road_freight_kgkm</t>
  </si>
  <si>
    <t>EOL_mass_g</t>
  </si>
  <si>
    <t>EOL_process</t>
  </si>
  <si>
    <t>openLCA_kgCO2e</t>
  </si>
  <si>
    <t>SimaPro_kgCO2e</t>
  </si>
  <si>
    <t>Published_mean_kgCO2e</t>
  </si>
  <si>
    <t>Relative_difference_pct</t>
  </si>
  <si>
    <t>Environmental_rank</t>
  </si>
  <si>
    <t>Acquisition_cost_EUR</t>
  </si>
  <si>
    <t>Published_mean_kgCO2e uses the unrounded study values reported in the final analysis; openLCA and SimaPro columns are displayed to three decimals as in the supplementary table. Relative difference is calculated from those displayed platform values.</t>
  </si>
  <si>
    <t>Manufacturing_pct</t>
  </si>
  <si>
    <t>Assembly_pct</t>
  </si>
  <si>
    <t>Transport_pct</t>
  </si>
  <si>
    <t>Disposal_pct</t>
  </si>
  <si>
    <t>Sum_pct</t>
  </si>
  <si>
    <t>Note</t>
  </si>
  <si>
    <t>Stage shares are the values reported in the manuscript; rounding may cause totals to differ slightly from 100%.</t>
  </si>
  <si>
    <t>Scenario</t>
  </si>
  <si>
    <t>Assumption</t>
  </si>
  <si>
    <t>A_kgCO2e</t>
  </si>
  <si>
    <t>B_kgCO2e</t>
  </si>
  <si>
    <t>C_kgCO2e</t>
  </si>
  <si>
    <t>D_kgCO2e</t>
  </si>
  <si>
    <t>Ranking</t>
  </si>
  <si>
    <t>Change_vs_base</t>
  </si>
  <si>
    <t>Base case</t>
  </si>
  <si>
    <t>Standard modelling assumptions</t>
  </si>
  <si>
    <t>D–C–A–B</t>
  </si>
  <si>
    <t>Transport +50%</t>
  </si>
  <si>
    <t>Transport contribution increased by 50%</t>
  </si>
  <si>
    <t>No change</t>
  </si>
  <si>
    <t>Transport −50%</t>
  </si>
  <si>
    <t>Transport contribution decreased by 50%</t>
  </si>
  <si>
    <t>Manufacturing +20%</t>
  </si>
  <si>
    <t>Manufacturing contribution increased by 20%</t>
  </si>
  <si>
    <t>Manufacturing −20%</t>
  </si>
  <si>
    <t>Manufacturing contribution decreased by 20%</t>
  </si>
  <si>
    <t>Cost_weight</t>
  </si>
  <si>
    <t>Carbon_weight</t>
  </si>
  <si>
    <t>A_score</t>
  </si>
  <si>
    <t>B_score</t>
  </si>
  <si>
    <t>C_score</t>
  </si>
  <si>
    <t>D_score</t>
  </si>
  <si>
    <t>Ranking_best_to_worst</t>
  </si>
  <si>
    <t>A–C–B–D</t>
  </si>
  <si>
    <t>Carbon_kgCO2e</t>
  </si>
  <si>
    <t>A–C–D–B</t>
  </si>
  <si>
    <t>Cost_EUR</t>
  </si>
  <si>
    <t>Carbon_norm</t>
  </si>
  <si>
    <t>C–D–A–B</t>
  </si>
  <si>
    <t>Cost_norm</t>
  </si>
  <si>
    <t>Method note</t>
  </si>
  <si>
    <t>Acquisition cost and mean carbon footprint are independently min–max normalized. Lower scores indicate lower weighted values. Rankings are scenario outputs, not a universal recommendation.</t>
  </si>
  <si>
    <t>Mean_kgCO2e_per_snare</t>
  </si>
  <si>
    <t>Colonoscopies_per_year</t>
  </si>
  <si>
    <t>Cold_snare_use_pct</t>
  </si>
  <si>
    <t>Projected_annual_kgCO2e</t>
  </si>
  <si>
    <t>Interpretation note</t>
  </si>
  <si>
    <t>Scenario represents 3,200 snares/year. Values are extrapolations from device-level carbon footprints, not measured institutional emissions.</t>
  </si>
  <si>
    <t>Sheet</t>
  </si>
  <si>
    <t>Field</t>
  </si>
  <si>
    <t>Definition</t>
  </si>
  <si>
    <t>Physical_inventory</t>
  </si>
  <si>
    <t>Measured mass of the physical component in grams; Snare D steel mass uses validated LCA source because original measurement cell is corrupted.</t>
  </si>
  <si>
    <t>Device or Packaging classification used for material-composition summaries.</t>
  </si>
  <si>
    <t>Foreground_LCI</t>
  </si>
  <si>
    <t>Name of the ecoinvent background dataset/process referenced by the SimaPro foreground model; underlying proprietary inventory is not redistributed.</t>
  </si>
  <si>
    <t>Foreground model amount; units are reported separately.</t>
  </si>
  <si>
    <t>Transport_EOL</t>
  </si>
  <si>
    <t>Sea_freight_kgkm / Road_freight_kgkm</t>
  </si>
  <si>
    <t>Mass-distance product used in foreground transport modelling.</t>
  </si>
  <si>
    <t>Carbon_results</t>
  </si>
  <si>
    <t>Unrounded mean carbon-footprint value used in the final analysis and downstream MCDA/institutional scenario. Platform values are displayed separately to three decimals as in the supplementary table.</t>
  </si>
  <si>
    <t>Absolute difference between platform estimates divided by their mean, ×100.</t>
  </si>
  <si>
    <t>Stage_contributions</t>
  </si>
  <si>
    <t>*_pct</t>
  </si>
  <si>
    <t>Percentage contribution of each life-cycle stage as reported in the manuscript.</t>
  </si>
  <si>
    <t>Sensitivity</t>
  </si>
  <si>
    <t>A_kgCO2e–D_kgCO2e</t>
  </si>
  <si>
    <t>Scenario-specific carbon footprint per functional unit.</t>
  </si>
  <si>
    <t>MCDA</t>
  </si>
  <si>
    <t>Cost_weight / Carbon_weight</t>
  </si>
  <si>
    <t>Illustrative procurement weighting assigned to normalized acquisition cost and carbon footprint.</t>
  </si>
  <si>
    <t>A_score–D_score</t>
  </si>
  <si>
    <t>Weighted sum of independently min–max-normalized cost and carbon footprint; lower values indicate lower combined weighted values.</t>
  </si>
  <si>
    <t>Institutional_scenario</t>
  </si>
  <si>
    <t>Mean device carbon footprint × annual colonoscopies × cold-snare use proportion.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</si>
</sst>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0"/>
    <numFmt numFmtId="166" formatCode="0.0000"/>
    <numFmt numFmtId="167" formatCode="0.0"/>
    <numFmt numFmtId="168" formatCode="\€0.00"/>
    <numFmt numFmtId="169" formatCode="0.0000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1F1F1F"/>
      <name val="Carlito"/>
    </font>
    <font>
      <i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center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" fontId="0" fillId="0" borderId="0" xfId="0" applyNumberFormat="1"/>
    <xf numFmtId="169" fontId="0" fillId="0" borderId="0" xfId="0" applyNumberFormat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wrapText="1"/>
    </xf>
    <xf numFmtId="0" fontId="4" fillId="5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ysicalInventoryTable" displayName="PhysicalInventoryTable" ref="A1:H34" totalsRowShown="0">
  <tableColumns count="8">
    <tableColumn id="1" xr3:uid="{00000000-0010-0000-0000-000001000000}" name="Snare"/>
    <tableColumn id="2" xr3:uid="{00000000-0010-0000-0000-000002000000}" name="Manufacturer"/>
    <tableColumn id="3" xr3:uid="{00000000-0010-0000-0000-000003000000}" name="Reference"/>
    <tableColumn id="4" xr3:uid="{00000000-0010-0000-0000-000004000000}" name="Component"/>
    <tableColumn id="5" xr3:uid="{00000000-0010-0000-0000-000005000000}" name="Material"/>
    <tableColumn id="6" xr3:uid="{00000000-0010-0000-0000-000006000000}" name="Mass_g"/>
    <tableColumn id="7" xr3:uid="{00000000-0010-0000-0000-000007000000}" name="Classification"/>
    <tableColumn id="8" xr3:uid="{00000000-0010-0000-0000-000008000000}" name="Data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egroundLCITable" displayName="ForegroundLCITable" ref="A1:F52" totalsRowShown="0">
  <tableColumns count="6">
    <tableColumn id="1" xr3:uid="{00000000-0010-0000-0100-000001000000}" name="Snare"/>
    <tableColumn id="2" xr3:uid="{00000000-0010-0000-0100-000002000000}" name="Model_element"/>
    <tableColumn id="3" xr3:uid="{00000000-0010-0000-0100-000003000000}" name="Background_dataset_or_process"/>
    <tableColumn id="4" xr3:uid="{00000000-0010-0000-0100-000004000000}" name="Amount"/>
    <tableColumn id="5" xr3:uid="{00000000-0010-0000-0100-000005000000}" name="Unit"/>
    <tableColumn id="6" xr3:uid="{00000000-0010-0000-0100-000006000000}" name="Model_comm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nsportEOLTable" displayName="TransportEOLTable" ref="A1:G5" totalsRowShown="0">
  <tableColumns count="7">
    <tableColumn id="1" xr3:uid="{00000000-0010-0000-0200-000001000000}" name="Snare"/>
    <tableColumn id="2" xr3:uid="{00000000-0010-0000-0200-000002000000}" name="Sea_distance_km"/>
    <tableColumn id="3" xr3:uid="{00000000-0010-0000-0200-000003000000}" name="Sea_freight_kgkm"/>
    <tableColumn id="4" xr3:uid="{00000000-0010-0000-0200-000004000000}" name="Road_distance_km"/>
    <tableColumn id="5" xr3:uid="{00000000-0010-0000-0200-000005000000}" name="Road_freight_kgkm"/>
    <tableColumn id="6" xr3:uid="{00000000-0010-0000-0200-000006000000}" name="EOL_mass_g"/>
    <tableColumn id="7" xr3:uid="{00000000-0010-0000-0200-000007000000}" name="EOL_proces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rbonResultsTable" displayName="CarbonResultsTable" ref="A1:G5" totalsRowShown="0">
  <tableColumns count="7">
    <tableColumn id="1" xr3:uid="{00000000-0010-0000-0300-000001000000}" name="Snare"/>
    <tableColumn id="2" xr3:uid="{00000000-0010-0000-0300-000002000000}" name="openLCA_kgCO2e"/>
    <tableColumn id="3" xr3:uid="{00000000-0010-0000-0300-000003000000}" name="SimaPro_kgCO2e"/>
    <tableColumn id="4" xr3:uid="{00000000-0010-0000-0300-000004000000}" name="Mean_kgCO2e"/>
    <tableColumn id="5" xr3:uid="{00000000-0010-0000-0300-000005000000}" name="Relative_difference_pct"/>
    <tableColumn id="6" xr3:uid="{00000000-0010-0000-0300-000006000000}" name="Environmental_rank"/>
    <tableColumn id="7" xr3:uid="{00000000-0010-0000-0300-000007000000}" name="Acquisition_cost_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geContribTable" displayName="StageContribTable" ref="A1:F5" totalsRowShown="0">
  <tableColumns count="6">
    <tableColumn id="1" xr3:uid="{00000000-0010-0000-0400-000001000000}" name="Snare"/>
    <tableColumn id="2" xr3:uid="{00000000-0010-0000-0400-000002000000}" name="Manufacturing_pct"/>
    <tableColumn id="3" xr3:uid="{00000000-0010-0000-0400-000003000000}" name="Assembly_pct"/>
    <tableColumn id="4" xr3:uid="{00000000-0010-0000-0400-000004000000}" name="Transport_pct"/>
    <tableColumn id="5" xr3:uid="{00000000-0010-0000-0400-000005000000}" name="Disposal_pct"/>
    <tableColumn id="6" xr3:uid="{00000000-0010-0000-0400-000006000000}" name="Sum_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nsitivityTable" displayName="SensitivityTable" ref="A1:H6" totalsRowShown="0">
  <tableColumns count="8">
    <tableColumn id="1" xr3:uid="{00000000-0010-0000-0500-000001000000}" name="Scenario"/>
    <tableColumn id="2" xr3:uid="{00000000-0010-0000-0500-000002000000}" name="Assumption"/>
    <tableColumn id="3" xr3:uid="{00000000-0010-0000-0500-000003000000}" name="A_kgCO2e"/>
    <tableColumn id="4" xr3:uid="{00000000-0010-0000-0500-000004000000}" name="B_kgCO2e"/>
    <tableColumn id="5" xr3:uid="{00000000-0010-0000-0500-000005000000}" name="C_kgCO2e"/>
    <tableColumn id="6" xr3:uid="{00000000-0010-0000-0500-000006000000}" name="D_kgCO2e"/>
    <tableColumn id="7" xr3:uid="{00000000-0010-0000-0500-000007000000}" name="Ranking"/>
    <tableColumn id="8" xr3:uid="{00000000-0010-0000-0500-000008000000}" name="Change_vs_ba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CDATable" displayName="MCDATable" ref="A1:G6" totalsRowShown="0">
  <tableColumns count="7">
    <tableColumn id="1" xr3:uid="{00000000-0010-0000-0600-000001000000}" name="Cost_weight"/>
    <tableColumn id="2" xr3:uid="{00000000-0010-0000-0600-000002000000}" name="Carbon_weight"/>
    <tableColumn id="3" xr3:uid="{00000000-0010-0000-0600-000003000000}" name="A_score"/>
    <tableColumn id="4" xr3:uid="{00000000-0010-0000-0600-000004000000}" name="B_score"/>
    <tableColumn id="5" xr3:uid="{00000000-0010-0000-0600-000005000000}" name="C_score"/>
    <tableColumn id="6" xr3:uid="{00000000-0010-0000-0600-000006000000}" name="D_score"/>
    <tableColumn id="7" xr3:uid="{00000000-0010-0000-0600-000007000000}" name="Ranking_best_to_wors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InstitutionalTable" displayName="InstitutionalTable" ref="A1:E5" totalsRowShown="0">
  <tableColumns count="5">
    <tableColumn id="1" xr3:uid="{00000000-0010-0000-0700-000001000000}" name="Snare"/>
    <tableColumn id="2" xr3:uid="{00000000-0010-0000-0700-000002000000}" name="Mean_kgCO2e_per_snare"/>
    <tableColumn id="3" xr3:uid="{00000000-0010-0000-0700-000003000000}" name="Colonoscopies_per_year"/>
    <tableColumn id="4" xr3:uid="{00000000-0010-0000-0700-000004000000}" name="Cold_snare_use_pct"/>
    <tableColumn id="5" xr3:uid="{00000000-0010-0000-0700-000005000000}" name="Projected_annual_kgCO2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ictionaryTable" displayName="DictionaryTable" ref="A1:C13" totalsRowShown="0">
  <tableColumns count="3">
    <tableColumn id="1" xr3:uid="{00000000-0010-0000-0800-000001000000}" name="Sheet"/>
    <tableColumn id="2" xr3:uid="{00000000-0010-0000-0800-000002000000}" name="Field"/>
    <tableColumn id="3" xr3:uid="{00000000-0010-0000-0800-000003000000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95" customWidth="1"/>
  </cols>
  <sheetData>
    <row r="1" spans="1:8" ht="22.25" customHeight="1">
      <c r="A1" s="13" t="s">
        <v>0</v>
      </c>
      <c r="B1" s="13"/>
      <c r="C1" s="13"/>
      <c r="D1" s="13"/>
      <c r="E1" s="13"/>
      <c r="F1" s="13"/>
      <c r="G1" s="13"/>
      <c r="H1" s="13"/>
    </row>
    <row r="3" spans="1:8" ht="193.5" customHeight="1">
      <c r="A3" s="1" t="s">
        <v>1</v>
      </c>
      <c r="B3" s="2" t="s">
        <v>2</v>
      </c>
    </row>
    <row r="4" spans="1:8" ht="352" customHeight="1">
      <c r="A4" s="1" t="s">
        <v>3</v>
      </c>
      <c r="B4" s="2" t="s">
        <v>4</v>
      </c>
    </row>
    <row r="5" spans="1:8" ht="158.5" customHeight="1">
      <c r="A5" s="1" t="s">
        <v>5</v>
      </c>
      <c r="B5" s="2" t="s">
        <v>6</v>
      </c>
    </row>
    <row r="6" spans="1:8" ht="369.5" customHeight="1">
      <c r="A6" s="1" t="s">
        <v>7</v>
      </c>
      <c r="B6" s="2" t="s">
        <v>8</v>
      </c>
    </row>
    <row r="7" spans="1:8" ht="193.5" customHeight="1">
      <c r="A7" s="1" t="s">
        <v>9</v>
      </c>
      <c r="B7" s="2" t="s">
        <v>10</v>
      </c>
    </row>
    <row r="8" spans="1:8" ht="35.25" customHeight="1">
      <c r="A8" s="1" t="s">
        <v>11</v>
      </c>
      <c r="B8" s="2" t="s">
        <v>12</v>
      </c>
    </row>
    <row r="9" spans="1:8" ht="123.25" customHeight="1">
      <c r="A9" s="1" t="s">
        <v>13</v>
      </c>
      <c r="B9" s="2" t="s">
        <v>14</v>
      </c>
    </row>
    <row r="10" spans="1:8" ht="211.25" customHeight="1">
      <c r="A10" s="1" t="s">
        <v>15</v>
      </c>
      <c r="B10" s="2" t="s">
        <v>16</v>
      </c>
    </row>
    <row r="11" spans="1:8" ht="316.75" customHeight="1">
      <c r="A11" s="1" t="s">
        <v>17</v>
      </c>
      <c r="B11" s="2" t="s">
        <v>18</v>
      </c>
    </row>
    <row r="12" spans="1:8" ht="176" customHeight="1">
      <c r="A12" s="1" t="s">
        <v>19</v>
      </c>
      <c r="B12" s="2" t="s">
        <v>20</v>
      </c>
    </row>
    <row r="13" spans="1:8" ht="409.6" customHeight="1">
      <c r="A13" s="1" t="s">
        <v>21</v>
      </c>
      <c r="B13" s="2" t="s">
        <v>22</v>
      </c>
    </row>
    <row r="14" spans="1:8" ht="409.6" customHeight="1">
      <c r="A14" s="1" t="s">
        <v>23</v>
      </c>
      <c r="B14" s="2" t="s">
        <v>24</v>
      </c>
    </row>
    <row r="15" spans="1:8" ht="369.5" customHeight="1">
      <c r="A15" s="1" t="s">
        <v>25</v>
      </c>
      <c r="B15" s="2" t="s">
        <v>26</v>
      </c>
    </row>
    <row r="16" spans="1:8" ht="409.6" customHeight="1">
      <c r="A16" s="1" t="s">
        <v>27</v>
      </c>
      <c r="B16" s="2" t="s">
        <v>28</v>
      </c>
    </row>
    <row r="17" spans="1:2" ht="409.6" customHeight="1">
      <c r="A17" s="1" t="s">
        <v>29</v>
      </c>
      <c r="B17" s="2" t="s">
        <v>30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"/>
  <sheetViews>
    <sheetView workbookViewId="0"/>
  </sheetViews>
  <sheetFormatPr baseColWidth="10" defaultColWidth="8.83203125" defaultRowHeight="14"/>
  <cols>
    <col min="1" max="1" width="10" customWidth="1"/>
    <col min="2" max="3" width="22" customWidth="1"/>
    <col min="4" max="4" width="28" customWidth="1"/>
    <col min="5" max="5" width="25" customWidth="1"/>
    <col min="6" max="6" width="12" customWidth="1"/>
    <col min="7" max="7" width="15" customWidth="1"/>
    <col min="8" max="8" width="52" customWidth="1"/>
  </cols>
  <sheetData>
    <row r="1" spans="1:8" ht="16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</row>
    <row r="2" spans="1:8" ht="15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4">
        <v>23.32</v>
      </c>
      <c r="G2" s="2" t="s">
        <v>44</v>
      </c>
      <c r="H2" s="2" t="s">
        <v>45</v>
      </c>
    </row>
    <row r="3" spans="1:8" ht="15">
      <c r="A3" s="2" t="s">
        <v>39</v>
      </c>
      <c r="B3" s="2" t="s">
        <v>40</v>
      </c>
      <c r="C3" s="2" t="s">
        <v>41</v>
      </c>
      <c r="D3" s="2" t="s">
        <v>46</v>
      </c>
      <c r="E3" s="2" t="s">
        <v>47</v>
      </c>
      <c r="F3" s="4">
        <v>10.220000000000001</v>
      </c>
      <c r="G3" s="2" t="s">
        <v>48</v>
      </c>
      <c r="H3" s="2" t="s">
        <v>45</v>
      </c>
    </row>
    <row r="4" spans="1:8" ht="15">
      <c r="A4" s="2" t="s">
        <v>39</v>
      </c>
      <c r="B4" s="2" t="s">
        <v>40</v>
      </c>
      <c r="C4" s="2" t="s">
        <v>41</v>
      </c>
      <c r="D4" s="2" t="s">
        <v>49</v>
      </c>
      <c r="E4" s="2" t="s">
        <v>50</v>
      </c>
      <c r="F4" s="4">
        <v>5.66</v>
      </c>
      <c r="G4" s="2" t="s">
        <v>44</v>
      </c>
      <c r="H4" s="2" t="s">
        <v>45</v>
      </c>
    </row>
    <row r="5" spans="1:8" ht="15">
      <c r="A5" s="2" t="s">
        <v>39</v>
      </c>
      <c r="B5" s="2" t="s">
        <v>40</v>
      </c>
      <c r="C5" s="2" t="s">
        <v>41</v>
      </c>
      <c r="D5" s="2" t="s">
        <v>51</v>
      </c>
      <c r="E5" s="2" t="s">
        <v>52</v>
      </c>
      <c r="F5" s="4">
        <v>4.2300000000000004</v>
      </c>
      <c r="G5" s="2" t="s">
        <v>48</v>
      </c>
      <c r="H5" s="2" t="s">
        <v>45</v>
      </c>
    </row>
    <row r="6" spans="1:8" ht="15">
      <c r="A6" s="2" t="s">
        <v>39</v>
      </c>
      <c r="B6" s="2" t="s">
        <v>40</v>
      </c>
      <c r="C6" s="2" t="s">
        <v>41</v>
      </c>
      <c r="D6" s="2" t="s">
        <v>53</v>
      </c>
      <c r="E6" s="2" t="s">
        <v>54</v>
      </c>
      <c r="F6" s="4">
        <v>1.25</v>
      </c>
      <c r="G6" s="2" t="s">
        <v>44</v>
      </c>
      <c r="H6" s="2" t="s">
        <v>45</v>
      </c>
    </row>
    <row r="7" spans="1:8" ht="15">
      <c r="A7" s="2" t="s">
        <v>39</v>
      </c>
      <c r="B7" s="2" t="s">
        <v>40</v>
      </c>
      <c r="C7" s="2" t="s">
        <v>41</v>
      </c>
      <c r="D7" s="2" t="s">
        <v>55</v>
      </c>
      <c r="E7" s="2" t="s">
        <v>52</v>
      </c>
      <c r="F7" s="4">
        <v>0.24</v>
      </c>
      <c r="G7" s="2" t="s">
        <v>44</v>
      </c>
      <c r="H7" s="2" t="s">
        <v>45</v>
      </c>
    </row>
    <row r="8" spans="1:8" ht="15">
      <c r="A8" s="2" t="s">
        <v>39</v>
      </c>
      <c r="B8" s="2" t="s">
        <v>40</v>
      </c>
      <c r="C8" s="2" t="s">
        <v>41</v>
      </c>
      <c r="D8" s="2" t="s">
        <v>56</v>
      </c>
      <c r="E8" s="2" t="s">
        <v>57</v>
      </c>
      <c r="F8" s="4">
        <v>9.0079999999999991</v>
      </c>
      <c r="G8" s="2" t="s">
        <v>44</v>
      </c>
      <c r="H8" s="2" t="s">
        <v>45</v>
      </c>
    </row>
    <row r="9" spans="1:8" ht="15">
      <c r="A9" s="2" t="s">
        <v>39</v>
      </c>
      <c r="B9" s="2" t="s">
        <v>40</v>
      </c>
      <c r="C9" s="2" t="s">
        <v>41</v>
      </c>
      <c r="D9" s="2" t="s">
        <v>58</v>
      </c>
      <c r="E9" s="2" t="s">
        <v>59</v>
      </c>
      <c r="F9" s="4">
        <v>2.36</v>
      </c>
      <c r="G9" s="2" t="s">
        <v>44</v>
      </c>
      <c r="H9" s="2" t="s">
        <v>45</v>
      </c>
    </row>
    <row r="10" spans="1:8" ht="15">
      <c r="A10" s="2" t="s">
        <v>39</v>
      </c>
      <c r="B10" s="2" t="s">
        <v>40</v>
      </c>
      <c r="C10" s="2" t="s">
        <v>41</v>
      </c>
      <c r="D10" s="2" t="s">
        <v>60</v>
      </c>
      <c r="E10" s="2" t="s">
        <v>57</v>
      </c>
      <c r="F10" s="4">
        <v>0.97</v>
      </c>
      <c r="G10" s="2" t="s">
        <v>44</v>
      </c>
      <c r="H10" s="2" t="s">
        <v>45</v>
      </c>
    </row>
    <row r="11" spans="1:8" ht="1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43</v>
      </c>
      <c r="F11" s="4">
        <v>22.03</v>
      </c>
      <c r="G11" s="2" t="s">
        <v>44</v>
      </c>
      <c r="H11" s="2" t="s">
        <v>45</v>
      </c>
    </row>
    <row r="12" spans="1:8" ht="30">
      <c r="A12" s="2" t="s">
        <v>61</v>
      </c>
      <c r="B12" s="2" t="s">
        <v>62</v>
      </c>
      <c r="C12" s="2" t="s">
        <v>63</v>
      </c>
      <c r="D12" s="2" t="s">
        <v>65</v>
      </c>
      <c r="E12" s="2" t="s">
        <v>66</v>
      </c>
      <c r="F12" s="4">
        <v>12.4</v>
      </c>
      <c r="G12" s="2" t="s">
        <v>44</v>
      </c>
      <c r="H12" s="2" t="s">
        <v>67</v>
      </c>
    </row>
    <row r="13" spans="1:8" ht="15">
      <c r="A13" s="2" t="s">
        <v>61</v>
      </c>
      <c r="B13" s="2" t="s">
        <v>62</v>
      </c>
      <c r="C13" s="2" t="s">
        <v>63</v>
      </c>
      <c r="D13" s="2" t="s">
        <v>51</v>
      </c>
      <c r="E13" s="2" t="s">
        <v>68</v>
      </c>
      <c r="F13" s="4">
        <v>8.0399999999999991</v>
      </c>
      <c r="G13" s="2" t="s">
        <v>48</v>
      </c>
      <c r="H13" s="2" t="s">
        <v>45</v>
      </c>
    </row>
    <row r="14" spans="1:8" ht="15">
      <c r="A14" s="2" t="s">
        <v>61</v>
      </c>
      <c r="B14" s="2" t="s">
        <v>62</v>
      </c>
      <c r="C14" s="2" t="s">
        <v>63</v>
      </c>
      <c r="D14" s="2" t="s">
        <v>46</v>
      </c>
      <c r="E14" s="2" t="s">
        <v>50</v>
      </c>
      <c r="F14" s="4">
        <v>5.92</v>
      </c>
      <c r="G14" s="2" t="s">
        <v>48</v>
      </c>
      <c r="H14" s="2" t="s">
        <v>45</v>
      </c>
    </row>
    <row r="15" spans="1:8" ht="15">
      <c r="A15" s="2" t="s">
        <v>61</v>
      </c>
      <c r="B15" s="2" t="s">
        <v>62</v>
      </c>
      <c r="C15" s="2" t="s">
        <v>63</v>
      </c>
      <c r="D15" s="2" t="s">
        <v>69</v>
      </c>
      <c r="E15" s="2" t="s">
        <v>43</v>
      </c>
      <c r="F15" s="4">
        <v>1.06</v>
      </c>
      <c r="G15" s="2" t="s">
        <v>44</v>
      </c>
      <c r="H15" s="2" t="s">
        <v>45</v>
      </c>
    </row>
    <row r="16" spans="1:8" ht="15">
      <c r="A16" s="2" t="s">
        <v>61</v>
      </c>
      <c r="B16" s="2" t="s">
        <v>62</v>
      </c>
      <c r="C16" s="2" t="s">
        <v>63</v>
      </c>
      <c r="D16" s="2" t="s">
        <v>70</v>
      </c>
      <c r="E16" s="2" t="s">
        <v>71</v>
      </c>
      <c r="F16" s="4">
        <v>0.77</v>
      </c>
      <c r="G16" s="2" t="s">
        <v>44</v>
      </c>
      <c r="H16" s="2" t="s">
        <v>45</v>
      </c>
    </row>
    <row r="17" spans="1:8" ht="15">
      <c r="A17" s="2" t="s">
        <v>61</v>
      </c>
      <c r="B17" s="2" t="s">
        <v>62</v>
      </c>
      <c r="C17" s="2" t="s">
        <v>63</v>
      </c>
      <c r="D17" s="2" t="s">
        <v>72</v>
      </c>
      <c r="E17" s="2" t="s">
        <v>66</v>
      </c>
      <c r="F17" s="4">
        <v>0.23</v>
      </c>
      <c r="G17" s="2" t="s">
        <v>44</v>
      </c>
      <c r="H17" s="2" t="s">
        <v>45</v>
      </c>
    </row>
    <row r="18" spans="1:8" ht="15">
      <c r="A18" s="2" t="s">
        <v>61</v>
      </c>
      <c r="B18" s="2" t="s">
        <v>62</v>
      </c>
      <c r="C18" s="2" t="s">
        <v>63</v>
      </c>
      <c r="D18" s="2" t="s">
        <v>56</v>
      </c>
      <c r="E18" s="2" t="s">
        <v>57</v>
      </c>
      <c r="F18" s="4">
        <v>8.76</v>
      </c>
      <c r="G18" s="2" t="s">
        <v>44</v>
      </c>
      <c r="H18" s="2" t="s">
        <v>45</v>
      </c>
    </row>
    <row r="19" spans="1:8" ht="15">
      <c r="A19" s="2" t="s">
        <v>61</v>
      </c>
      <c r="B19" s="2" t="s">
        <v>62</v>
      </c>
      <c r="C19" s="2" t="s">
        <v>63</v>
      </c>
      <c r="D19" s="2" t="s">
        <v>60</v>
      </c>
      <c r="E19" s="2" t="s">
        <v>57</v>
      </c>
      <c r="F19" s="4">
        <v>1.83</v>
      </c>
      <c r="G19" s="2" t="s">
        <v>44</v>
      </c>
      <c r="H19" s="2" t="s">
        <v>45</v>
      </c>
    </row>
    <row r="20" spans="1:8" ht="15">
      <c r="A20" s="2" t="s">
        <v>73</v>
      </c>
      <c r="B20" s="2" t="s">
        <v>74</v>
      </c>
      <c r="C20" s="2" t="s">
        <v>75</v>
      </c>
      <c r="D20" s="2" t="s">
        <v>64</v>
      </c>
      <c r="E20" s="2" t="s">
        <v>43</v>
      </c>
      <c r="F20" s="4">
        <v>17.899999999999999</v>
      </c>
      <c r="G20" s="2" t="s">
        <v>44</v>
      </c>
      <c r="H20" s="2" t="s">
        <v>45</v>
      </c>
    </row>
    <row r="21" spans="1:8" ht="15">
      <c r="A21" s="2" t="s">
        <v>73</v>
      </c>
      <c r="B21" s="2" t="s">
        <v>74</v>
      </c>
      <c r="C21" s="2" t="s">
        <v>75</v>
      </c>
      <c r="D21" s="2" t="s">
        <v>51</v>
      </c>
      <c r="E21" s="2" t="s">
        <v>68</v>
      </c>
      <c r="F21" s="4">
        <v>7.93</v>
      </c>
      <c r="G21" s="2" t="s">
        <v>48</v>
      </c>
      <c r="H21" s="2" t="s">
        <v>45</v>
      </c>
    </row>
    <row r="22" spans="1:8" ht="15">
      <c r="A22" s="2" t="s">
        <v>73</v>
      </c>
      <c r="B22" s="2" t="s">
        <v>74</v>
      </c>
      <c r="C22" s="2" t="s">
        <v>75</v>
      </c>
      <c r="D22" s="2" t="s">
        <v>46</v>
      </c>
      <c r="E22" s="2" t="s">
        <v>50</v>
      </c>
      <c r="F22" s="4">
        <v>5.65</v>
      </c>
      <c r="G22" s="2" t="s">
        <v>48</v>
      </c>
      <c r="H22" s="2" t="s">
        <v>45</v>
      </c>
    </row>
    <row r="23" spans="1:8" ht="15">
      <c r="A23" s="2" t="s">
        <v>73</v>
      </c>
      <c r="B23" s="2" t="s">
        <v>74</v>
      </c>
      <c r="C23" s="2" t="s">
        <v>75</v>
      </c>
      <c r="D23" s="2" t="s">
        <v>65</v>
      </c>
      <c r="E23" s="2" t="s">
        <v>50</v>
      </c>
      <c r="F23" s="4">
        <v>5.1100000000000003</v>
      </c>
      <c r="G23" s="2" t="s">
        <v>44</v>
      </c>
      <c r="H23" s="2" t="s">
        <v>45</v>
      </c>
    </row>
    <row r="24" spans="1:8" ht="15">
      <c r="A24" s="2" t="s">
        <v>73</v>
      </c>
      <c r="B24" s="2" t="s">
        <v>74</v>
      </c>
      <c r="C24" s="2" t="s">
        <v>75</v>
      </c>
      <c r="D24" s="2" t="s">
        <v>76</v>
      </c>
      <c r="E24" s="2" t="s">
        <v>43</v>
      </c>
      <c r="F24" s="4">
        <v>0.57999999999999996</v>
      </c>
      <c r="G24" s="2" t="s">
        <v>44</v>
      </c>
      <c r="H24" s="2" t="s">
        <v>45</v>
      </c>
    </row>
    <row r="25" spans="1:8" ht="15">
      <c r="A25" s="2" t="s">
        <v>73</v>
      </c>
      <c r="B25" s="2" t="s">
        <v>74</v>
      </c>
      <c r="C25" s="2" t="s">
        <v>75</v>
      </c>
      <c r="D25" s="2" t="s">
        <v>77</v>
      </c>
      <c r="E25" s="2" t="s">
        <v>78</v>
      </c>
      <c r="F25" s="4">
        <v>0.38</v>
      </c>
      <c r="G25" s="2" t="s">
        <v>44</v>
      </c>
      <c r="H25" s="2" t="s">
        <v>45</v>
      </c>
    </row>
    <row r="26" spans="1:8" ht="15">
      <c r="A26" s="2" t="s">
        <v>73</v>
      </c>
      <c r="B26" s="2" t="s">
        <v>74</v>
      </c>
      <c r="C26" s="2" t="s">
        <v>75</v>
      </c>
      <c r="D26" s="2" t="s">
        <v>72</v>
      </c>
      <c r="E26" s="2" t="s">
        <v>50</v>
      </c>
      <c r="F26" s="4">
        <v>0.33</v>
      </c>
      <c r="G26" s="2" t="s">
        <v>44</v>
      </c>
      <c r="H26" s="2" t="s">
        <v>45</v>
      </c>
    </row>
    <row r="27" spans="1:8" ht="15">
      <c r="A27" s="2" t="s">
        <v>73</v>
      </c>
      <c r="B27" s="2" t="s">
        <v>74</v>
      </c>
      <c r="C27" s="2" t="s">
        <v>75</v>
      </c>
      <c r="D27" s="2" t="s">
        <v>56</v>
      </c>
      <c r="E27" s="2" t="s">
        <v>57</v>
      </c>
      <c r="F27" s="4">
        <v>5.8</v>
      </c>
      <c r="G27" s="2" t="s">
        <v>44</v>
      </c>
      <c r="H27" s="2" t="s">
        <v>45</v>
      </c>
    </row>
    <row r="28" spans="1:8" ht="15">
      <c r="A28" s="2" t="s">
        <v>73</v>
      </c>
      <c r="B28" s="2" t="s">
        <v>74</v>
      </c>
      <c r="C28" s="2" t="s">
        <v>75</v>
      </c>
      <c r="D28" s="2" t="s">
        <v>58</v>
      </c>
      <c r="E28" s="2" t="s">
        <v>59</v>
      </c>
      <c r="F28" s="4">
        <v>3.75</v>
      </c>
      <c r="G28" s="2" t="s">
        <v>44</v>
      </c>
      <c r="H28" s="2" t="s">
        <v>45</v>
      </c>
    </row>
    <row r="29" spans="1:8" ht="15">
      <c r="A29" s="2" t="s">
        <v>73</v>
      </c>
      <c r="B29" s="2" t="s">
        <v>74</v>
      </c>
      <c r="C29" s="2" t="s">
        <v>75</v>
      </c>
      <c r="D29" s="2" t="s">
        <v>60</v>
      </c>
      <c r="E29" s="2" t="s">
        <v>57</v>
      </c>
      <c r="F29" s="4">
        <v>0.52</v>
      </c>
      <c r="G29" s="2" t="s">
        <v>44</v>
      </c>
      <c r="H29" s="2" t="s">
        <v>45</v>
      </c>
    </row>
    <row r="30" spans="1:8" ht="15">
      <c r="A30" s="2" t="s">
        <v>79</v>
      </c>
      <c r="B30" s="2" t="s">
        <v>80</v>
      </c>
      <c r="C30" s="2" t="s">
        <v>81</v>
      </c>
      <c r="D30" s="2" t="s">
        <v>64</v>
      </c>
      <c r="E30" s="2" t="s">
        <v>43</v>
      </c>
      <c r="F30" s="4">
        <v>12.88</v>
      </c>
      <c r="G30" s="2" t="s">
        <v>44</v>
      </c>
      <c r="H30" s="2" t="s">
        <v>45</v>
      </c>
    </row>
    <row r="31" spans="1:8" ht="15">
      <c r="A31" s="2" t="s">
        <v>79</v>
      </c>
      <c r="B31" s="2" t="s">
        <v>80</v>
      </c>
      <c r="C31" s="2" t="s">
        <v>81</v>
      </c>
      <c r="D31" s="2" t="s">
        <v>51</v>
      </c>
      <c r="E31" s="2" t="s">
        <v>50</v>
      </c>
      <c r="F31" s="4">
        <v>8.11</v>
      </c>
      <c r="G31" s="2" t="s">
        <v>48</v>
      </c>
      <c r="H31" s="2" t="s">
        <v>45</v>
      </c>
    </row>
    <row r="32" spans="1:8" ht="15">
      <c r="A32" s="2" t="s">
        <v>79</v>
      </c>
      <c r="B32" s="2" t="s">
        <v>80</v>
      </c>
      <c r="C32" s="2" t="s">
        <v>81</v>
      </c>
      <c r="D32" s="2" t="s">
        <v>46</v>
      </c>
      <c r="E32" s="2" t="s">
        <v>50</v>
      </c>
      <c r="F32" s="4">
        <v>6.33</v>
      </c>
      <c r="G32" s="2" t="s">
        <v>48</v>
      </c>
      <c r="H32" s="2" t="s">
        <v>45</v>
      </c>
    </row>
    <row r="33" spans="1:8" ht="15">
      <c r="A33" s="2" t="s">
        <v>79</v>
      </c>
      <c r="B33" s="2" t="s">
        <v>80</v>
      </c>
      <c r="C33" s="2" t="s">
        <v>81</v>
      </c>
      <c r="D33" s="2" t="s">
        <v>49</v>
      </c>
      <c r="E33" s="2" t="s">
        <v>50</v>
      </c>
      <c r="F33" s="4">
        <v>6.23</v>
      </c>
      <c r="G33" s="2" t="s">
        <v>44</v>
      </c>
      <c r="H33" s="2" t="s">
        <v>45</v>
      </c>
    </row>
    <row r="34" spans="1:8" ht="30">
      <c r="A34" s="2" t="s">
        <v>79</v>
      </c>
      <c r="B34" s="2" t="s">
        <v>80</v>
      </c>
      <c r="C34" s="2" t="s">
        <v>81</v>
      </c>
      <c r="D34" s="2" t="s">
        <v>56</v>
      </c>
      <c r="E34" s="2" t="s">
        <v>57</v>
      </c>
      <c r="F34" s="4">
        <v>6.86</v>
      </c>
      <c r="G34" s="2" t="s">
        <v>44</v>
      </c>
      <c r="H34" s="2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workbookViewId="0"/>
  </sheetViews>
  <sheetFormatPr baseColWidth="10" defaultColWidth="8.83203125" defaultRowHeight="14"/>
  <cols>
    <col min="1" max="1" width="10" customWidth="1"/>
    <col min="2" max="2" width="28" customWidth="1"/>
    <col min="3" max="3" width="92" customWidth="1"/>
    <col min="4" max="4" width="14" customWidth="1"/>
    <col min="5" max="5" width="12" customWidth="1"/>
    <col min="6" max="6" width="55" customWidth="1"/>
  </cols>
  <sheetData>
    <row r="1" spans="1:6" ht="16">
      <c r="A1" s="3" t="s">
        <v>31</v>
      </c>
      <c r="B1" s="3" t="s">
        <v>83</v>
      </c>
      <c r="C1" s="3" t="s">
        <v>84</v>
      </c>
      <c r="D1" s="3" t="s">
        <v>85</v>
      </c>
      <c r="E1" s="3" t="s">
        <v>86</v>
      </c>
      <c r="F1" s="3" t="s">
        <v>87</v>
      </c>
    </row>
    <row r="2" spans="1:6" ht="30">
      <c r="A2" s="2" t="s">
        <v>39</v>
      </c>
      <c r="B2" s="2" t="s">
        <v>35</v>
      </c>
      <c r="C2" s="2" t="s">
        <v>88</v>
      </c>
      <c r="D2" s="5">
        <v>23.32</v>
      </c>
      <c r="E2" s="2" t="s">
        <v>89</v>
      </c>
      <c r="F2" s="2" t="s">
        <v>90</v>
      </c>
    </row>
    <row r="3" spans="1:6" ht="15">
      <c r="A3" s="2" t="s">
        <v>39</v>
      </c>
      <c r="B3" s="2" t="s">
        <v>35</v>
      </c>
      <c r="C3" s="2" t="s">
        <v>91</v>
      </c>
      <c r="D3" s="5">
        <v>4.47</v>
      </c>
      <c r="E3" s="2" t="s">
        <v>89</v>
      </c>
      <c r="F3" s="2" t="s">
        <v>92</v>
      </c>
    </row>
    <row r="4" spans="1:6" ht="15">
      <c r="A4" s="2" t="s">
        <v>39</v>
      </c>
      <c r="B4" s="2" t="s">
        <v>35</v>
      </c>
      <c r="C4" s="2" t="s">
        <v>93</v>
      </c>
      <c r="D4" s="5">
        <v>5.66</v>
      </c>
      <c r="E4" s="2" t="s">
        <v>89</v>
      </c>
      <c r="F4" s="2" t="s">
        <v>94</v>
      </c>
    </row>
    <row r="5" spans="1:6" ht="30">
      <c r="A5" s="2" t="s">
        <v>39</v>
      </c>
      <c r="B5" s="2" t="s">
        <v>35</v>
      </c>
      <c r="C5" s="2" t="s">
        <v>95</v>
      </c>
      <c r="D5" s="5">
        <v>1.25</v>
      </c>
      <c r="E5" s="2" t="s">
        <v>89</v>
      </c>
      <c r="F5" s="2" t="s">
        <v>96</v>
      </c>
    </row>
    <row r="6" spans="1:6" ht="15">
      <c r="A6" s="2" t="s">
        <v>39</v>
      </c>
      <c r="B6" s="2" t="s">
        <v>35</v>
      </c>
      <c r="C6" s="2" t="s">
        <v>97</v>
      </c>
      <c r="D6" s="5">
        <v>9.9779999999999998</v>
      </c>
      <c r="E6" s="2" t="s">
        <v>89</v>
      </c>
      <c r="F6" s="2" t="s">
        <v>98</v>
      </c>
    </row>
    <row r="7" spans="1:6" ht="15">
      <c r="A7" s="2" t="s">
        <v>39</v>
      </c>
      <c r="B7" s="2" t="s">
        <v>35</v>
      </c>
      <c r="C7" s="2" t="s">
        <v>99</v>
      </c>
      <c r="D7" s="5">
        <v>2.36</v>
      </c>
      <c r="E7" s="2" t="s">
        <v>89</v>
      </c>
      <c r="F7" s="2" t="s">
        <v>100</v>
      </c>
    </row>
    <row r="8" spans="1:6" ht="15">
      <c r="A8" s="2" t="s">
        <v>39</v>
      </c>
      <c r="B8" s="2" t="s">
        <v>35</v>
      </c>
      <c r="C8" s="2" t="s">
        <v>101</v>
      </c>
      <c r="D8" s="5">
        <v>10.220000000000001</v>
      </c>
      <c r="E8" s="2" t="s">
        <v>89</v>
      </c>
      <c r="F8" s="2" t="s">
        <v>102</v>
      </c>
    </row>
    <row r="9" spans="1:6" ht="15">
      <c r="A9" s="2" t="s">
        <v>39</v>
      </c>
      <c r="B9" s="2" t="s">
        <v>103</v>
      </c>
      <c r="C9" s="2" t="s">
        <v>104</v>
      </c>
      <c r="D9" s="5">
        <v>23.32</v>
      </c>
      <c r="E9" s="2" t="s">
        <v>89</v>
      </c>
      <c r="F9" s="2" t="s">
        <v>105</v>
      </c>
    </row>
    <row r="10" spans="1:6" ht="15">
      <c r="A10" s="2" t="s">
        <v>39</v>
      </c>
      <c r="B10" s="2" t="s">
        <v>103</v>
      </c>
      <c r="C10" s="2" t="s">
        <v>106</v>
      </c>
      <c r="D10" s="5">
        <v>14.45</v>
      </c>
      <c r="E10" s="2" t="s">
        <v>89</v>
      </c>
      <c r="F10" s="2" t="s">
        <v>107</v>
      </c>
    </row>
    <row r="11" spans="1:6" ht="15">
      <c r="A11" s="2" t="s">
        <v>39</v>
      </c>
      <c r="B11" s="2" t="s">
        <v>103</v>
      </c>
      <c r="C11" s="2" t="s">
        <v>108</v>
      </c>
      <c r="D11" s="5">
        <v>7.15</v>
      </c>
      <c r="E11" s="2" t="s">
        <v>89</v>
      </c>
      <c r="F11" s="2" t="s">
        <v>109</v>
      </c>
    </row>
    <row r="12" spans="1:6" ht="15">
      <c r="A12" s="2" t="s">
        <v>39</v>
      </c>
      <c r="B12" s="2" t="s">
        <v>103</v>
      </c>
      <c r="C12" s="2" t="s">
        <v>110</v>
      </c>
      <c r="D12" s="5">
        <v>9.9779999999999998</v>
      </c>
      <c r="E12" s="2" t="s">
        <v>89</v>
      </c>
      <c r="F12" s="2" t="s">
        <v>111</v>
      </c>
    </row>
    <row r="13" spans="1:6" ht="15">
      <c r="A13" s="2" t="s">
        <v>39</v>
      </c>
      <c r="B13" s="2" t="s">
        <v>103</v>
      </c>
      <c r="C13" s="2" t="s">
        <v>99</v>
      </c>
      <c r="D13" s="5">
        <v>2.36</v>
      </c>
      <c r="E13" s="2" t="s">
        <v>89</v>
      </c>
      <c r="F13" s="2" t="s">
        <v>112</v>
      </c>
    </row>
    <row r="14" spans="1:6" ht="30">
      <c r="A14" s="2" t="s">
        <v>39</v>
      </c>
      <c r="B14" s="2" t="s">
        <v>113</v>
      </c>
      <c r="C14" s="2" t="s">
        <v>114</v>
      </c>
      <c r="D14" s="5">
        <v>17.533799999999999</v>
      </c>
      <c r="E14" s="2" t="s">
        <v>115</v>
      </c>
      <c r="F14" s="2" t="s">
        <v>116</v>
      </c>
    </row>
    <row r="15" spans="1:6" ht="15">
      <c r="A15" s="2" t="s">
        <v>39</v>
      </c>
      <c r="B15" s="2" t="s">
        <v>113</v>
      </c>
      <c r="C15" s="2" t="s">
        <v>117</v>
      </c>
      <c r="D15" s="5">
        <v>1146</v>
      </c>
      <c r="E15" s="2" t="s">
        <v>115</v>
      </c>
      <c r="F15" s="2" t="s">
        <v>118</v>
      </c>
    </row>
    <row r="16" spans="1:6" ht="15">
      <c r="A16" s="2" t="s">
        <v>39</v>
      </c>
      <c r="B16" s="2" t="s">
        <v>119</v>
      </c>
      <c r="C16" s="2" t="s">
        <v>120</v>
      </c>
      <c r="D16" s="5">
        <v>57.258000000000003</v>
      </c>
      <c r="E16" s="2" t="s">
        <v>89</v>
      </c>
      <c r="F16" s="2" t="s">
        <v>121</v>
      </c>
    </row>
    <row r="17" spans="1:6" ht="30">
      <c r="A17" s="2" t="s">
        <v>61</v>
      </c>
      <c r="B17" s="2" t="s">
        <v>35</v>
      </c>
      <c r="C17" s="2" t="s">
        <v>88</v>
      </c>
      <c r="D17" s="5">
        <v>23.09</v>
      </c>
      <c r="E17" s="2" t="s">
        <v>89</v>
      </c>
      <c r="F17" s="2" t="s">
        <v>122</v>
      </c>
    </row>
    <row r="18" spans="1:6" ht="30">
      <c r="A18" s="2" t="s">
        <v>61</v>
      </c>
      <c r="B18" s="2" t="s">
        <v>35</v>
      </c>
      <c r="C18" s="2" t="s">
        <v>123</v>
      </c>
      <c r="D18" s="5">
        <v>1.175</v>
      </c>
      <c r="E18" s="2" t="s">
        <v>89</v>
      </c>
      <c r="F18" s="2" t="s">
        <v>124</v>
      </c>
    </row>
    <row r="19" spans="1:6" ht="30">
      <c r="A19" s="2" t="s">
        <v>61</v>
      </c>
      <c r="B19" s="2" t="s">
        <v>35</v>
      </c>
      <c r="C19" s="2" t="s">
        <v>125</v>
      </c>
      <c r="D19" s="5">
        <v>8.0399999999999991</v>
      </c>
      <c r="E19" s="2" t="s">
        <v>89</v>
      </c>
      <c r="F19" s="2" t="s">
        <v>126</v>
      </c>
    </row>
    <row r="20" spans="1:6" ht="15">
      <c r="A20" s="2" t="s">
        <v>61</v>
      </c>
      <c r="B20" s="2" t="s">
        <v>35</v>
      </c>
      <c r="C20" s="2" t="s">
        <v>93</v>
      </c>
      <c r="D20" s="5">
        <v>5.92</v>
      </c>
      <c r="E20" s="2" t="s">
        <v>89</v>
      </c>
      <c r="F20" s="2" t="s">
        <v>127</v>
      </c>
    </row>
    <row r="21" spans="1:6" ht="15">
      <c r="A21" s="2" t="s">
        <v>61</v>
      </c>
      <c r="B21" s="2" t="s">
        <v>35</v>
      </c>
      <c r="C21" s="2" t="s">
        <v>128</v>
      </c>
      <c r="D21" s="5">
        <v>0.77</v>
      </c>
      <c r="E21" s="2" t="s">
        <v>89</v>
      </c>
      <c r="F21" s="2" t="s">
        <v>129</v>
      </c>
    </row>
    <row r="22" spans="1:6" ht="15">
      <c r="A22" s="2" t="s">
        <v>61</v>
      </c>
      <c r="B22" s="2" t="s">
        <v>35</v>
      </c>
      <c r="C22" s="2" t="s">
        <v>97</v>
      </c>
      <c r="D22" s="5">
        <v>10.59</v>
      </c>
      <c r="E22" s="2" t="s">
        <v>89</v>
      </c>
      <c r="F22" s="2" t="s">
        <v>130</v>
      </c>
    </row>
    <row r="23" spans="1:6" ht="15">
      <c r="A23" s="2" t="s">
        <v>61</v>
      </c>
      <c r="B23" s="2" t="s">
        <v>103</v>
      </c>
      <c r="C23" s="2" t="s">
        <v>104</v>
      </c>
      <c r="D23" s="5">
        <v>23.86</v>
      </c>
      <c r="E23" s="2" t="s">
        <v>89</v>
      </c>
      <c r="F23" s="2" t="s">
        <v>131</v>
      </c>
    </row>
    <row r="24" spans="1:6" ht="15">
      <c r="A24" s="2" t="s">
        <v>61</v>
      </c>
      <c r="B24" s="2" t="s">
        <v>103</v>
      </c>
      <c r="C24" s="2" t="s">
        <v>108</v>
      </c>
      <c r="D24" s="5">
        <v>12.63</v>
      </c>
      <c r="E24" s="2" t="s">
        <v>89</v>
      </c>
      <c r="F24" s="2" t="s">
        <v>132</v>
      </c>
    </row>
    <row r="25" spans="1:6" ht="15">
      <c r="A25" s="2" t="s">
        <v>61</v>
      </c>
      <c r="B25" s="2" t="s">
        <v>103</v>
      </c>
      <c r="C25" s="2" t="s">
        <v>106</v>
      </c>
      <c r="D25" s="5">
        <v>13.96</v>
      </c>
      <c r="E25" s="2" t="s">
        <v>89</v>
      </c>
      <c r="F25" s="2" t="s">
        <v>133</v>
      </c>
    </row>
    <row r="26" spans="1:6" ht="15">
      <c r="A26" s="2" t="s">
        <v>61</v>
      </c>
      <c r="B26" s="2" t="s">
        <v>103</v>
      </c>
      <c r="C26" s="2" t="s">
        <v>110</v>
      </c>
      <c r="D26" s="5">
        <v>10.59</v>
      </c>
      <c r="E26" s="2" t="s">
        <v>89</v>
      </c>
      <c r="F26" s="2" t="s">
        <v>134</v>
      </c>
    </row>
    <row r="27" spans="1:6" ht="15">
      <c r="A27" s="2" t="s">
        <v>61</v>
      </c>
      <c r="B27" s="2" t="s">
        <v>113</v>
      </c>
      <c r="C27" s="2" t="s">
        <v>117</v>
      </c>
      <c r="D27" s="5">
        <v>1292.3399999999999</v>
      </c>
      <c r="E27" s="2" t="s">
        <v>115</v>
      </c>
      <c r="F27" s="2" t="s">
        <v>135</v>
      </c>
    </row>
    <row r="28" spans="1:6" ht="30">
      <c r="A28" s="2" t="s">
        <v>61</v>
      </c>
      <c r="B28" s="2" t="s">
        <v>113</v>
      </c>
      <c r="C28" s="2" t="s">
        <v>114</v>
      </c>
      <c r="D28" s="5">
        <v>0.36924000000000001</v>
      </c>
      <c r="E28" s="2" t="s">
        <v>115</v>
      </c>
      <c r="F28" s="2" t="s">
        <v>136</v>
      </c>
    </row>
    <row r="29" spans="1:6" ht="15">
      <c r="A29" s="2" t="s">
        <v>61</v>
      </c>
      <c r="B29" s="2" t="s">
        <v>119</v>
      </c>
      <c r="C29" s="2" t="s">
        <v>120</v>
      </c>
      <c r="D29" s="5">
        <v>61.04</v>
      </c>
      <c r="E29" s="2" t="s">
        <v>89</v>
      </c>
      <c r="F29" s="2" t="s">
        <v>121</v>
      </c>
    </row>
    <row r="30" spans="1:6" ht="30">
      <c r="A30" s="2" t="s">
        <v>73</v>
      </c>
      <c r="B30" s="2" t="s">
        <v>35</v>
      </c>
      <c r="C30" s="2" t="s">
        <v>88</v>
      </c>
      <c r="D30" s="5">
        <v>18.48</v>
      </c>
      <c r="E30" s="2" t="s">
        <v>89</v>
      </c>
      <c r="F30" s="2" t="s">
        <v>137</v>
      </c>
    </row>
    <row r="31" spans="1:6" ht="30">
      <c r="A31" s="2" t="s">
        <v>73</v>
      </c>
      <c r="B31" s="2" t="s">
        <v>35</v>
      </c>
      <c r="C31" s="2" t="s">
        <v>125</v>
      </c>
      <c r="D31" s="5">
        <v>7.93</v>
      </c>
      <c r="E31" s="2" t="s">
        <v>89</v>
      </c>
      <c r="F31" s="2" t="s">
        <v>126</v>
      </c>
    </row>
    <row r="32" spans="1:6" ht="15">
      <c r="A32" s="2" t="s">
        <v>73</v>
      </c>
      <c r="B32" s="2" t="s">
        <v>35</v>
      </c>
      <c r="C32" s="2" t="s">
        <v>93</v>
      </c>
      <c r="D32" s="5">
        <v>11.09</v>
      </c>
      <c r="E32" s="2" t="s">
        <v>89</v>
      </c>
      <c r="F32" s="2" t="s">
        <v>138</v>
      </c>
    </row>
    <row r="33" spans="1:6" ht="15">
      <c r="A33" s="2" t="s">
        <v>73</v>
      </c>
      <c r="B33" s="2" t="s">
        <v>35</v>
      </c>
      <c r="C33" s="2" t="s">
        <v>139</v>
      </c>
      <c r="D33" s="5">
        <v>0.38</v>
      </c>
      <c r="E33" s="2" t="s">
        <v>89</v>
      </c>
      <c r="F33" s="2" t="s">
        <v>140</v>
      </c>
    </row>
    <row r="34" spans="1:6" ht="15">
      <c r="A34" s="2" t="s">
        <v>73</v>
      </c>
      <c r="B34" s="2" t="s">
        <v>35</v>
      </c>
      <c r="C34" s="2" t="s">
        <v>97</v>
      </c>
      <c r="D34" s="5">
        <v>6.32</v>
      </c>
      <c r="E34" s="2" t="s">
        <v>89</v>
      </c>
      <c r="F34" s="2" t="s">
        <v>141</v>
      </c>
    </row>
    <row r="35" spans="1:6" ht="15">
      <c r="A35" s="2" t="s">
        <v>73</v>
      </c>
      <c r="B35" s="2" t="s">
        <v>35</v>
      </c>
      <c r="C35" s="2" t="s">
        <v>99</v>
      </c>
      <c r="D35" s="5">
        <v>3.75</v>
      </c>
      <c r="E35" s="2" t="s">
        <v>89</v>
      </c>
      <c r="F35" s="2" t="s">
        <v>142</v>
      </c>
    </row>
    <row r="36" spans="1:6" ht="15">
      <c r="A36" s="2" t="s">
        <v>73</v>
      </c>
      <c r="B36" s="2" t="s">
        <v>103</v>
      </c>
      <c r="C36" s="2" t="s">
        <v>104</v>
      </c>
      <c r="D36" s="5">
        <v>17.899999999999999</v>
      </c>
      <c r="E36" s="2" t="s">
        <v>89</v>
      </c>
      <c r="F36" s="2" t="s">
        <v>105</v>
      </c>
    </row>
    <row r="37" spans="1:6" ht="15">
      <c r="A37" s="2" t="s">
        <v>73</v>
      </c>
      <c r="B37" s="2" t="s">
        <v>103</v>
      </c>
      <c r="C37" s="2" t="s">
        <v>106</v>
      </c>
      <c r="D37" s="5">
        <v>13.58</v>
      </c>
      <c r="E37" s="2" t="s">
        <v>89</v>
      </c>
      <c r="F37" s="2" t="s">
        <v>143</v>
      </c>
    </row>
    <row r="38" spans="1:6" ht="15">
      <c r="A38" s="2" t="s">
        <v>73</v>
      </c>
      <c r="B38" s="2" t="s">
        <v>103</v>
      </c>
      <c r="C38" s="2" t="s">
        <v>108</v>
      </c>
      <c r="D38" s="5">
        <v>6.4</v>
      </c>
      <c r="E38" s="2" t="s">
        <v>89</v>
      </c>
      <c r="F38" s="2" t="s">
        <v>144</v>
      </c>
    </row>
    <row r="39" spans="1:6" ht="15">
      <c r="A39" s="2" t="s">
        <v>73</v>
      </c>
      <c r="B39" s="2" t="s">
        <v>103</v>
      </c>
      <c r="C39" s="2" t="s">
        <v>145</v>
      </c>
      <c r="D39" s="5">
        <v>3.75</v>
      </c>
      <c r="E39" s="2" t="s">
        <v>89</v>
      </c>
      <c r="F39" s="2" t="s">
        <v>146</v>
      </c>
    </row>
    <row r="40" spans="1:6" ht="15">
      <c r="A40" s="2" t="s">
        <v>73</v>
      </c>
      <c r="B40" s="2" t="s">
        <v>103</v>
      </c>
      <c r="C40" s="2" t="s">
        <v>110</v>
      </c>
      <c r="D40" s="5">
        <v>6.32</v>
      </c>
      <c r="E40" s="2" t="s">
        <v>89</v>
      </c>
      <c r="F40" s="2" t="s">
        <v>147</v>
      </c>
    </row>
    <row r="41" spans="1:6" ht="15">
      <c r="A41" s="2" t="s">
        <v>73</v>
      </c>
      <c r="B41" s="2" t="s">
        <v>113</v>
      </c>
      <c r="C41" s="2" t="s">
        <v>117</v>
      </c>
      <c r="D41" s="5">
        <v>407.57499999999999</v>
      </c>
      <c r="E41" s="2" t="s">
        <v>115</v>
      </c>
      <c r="F41" s="2" t="s">
        <v>148</v>
      </c>
    </row>
    <row r="42" spans="1:6" ht="30">
      <c r="A42" s="2" t="s">
        <v>73</v>
      </c>
      <c r="B42" s="2" t="s">
        <v>113</v>
      </c>
      <c r="C42" s="2" t="s">
        <v>114</v>
      </c>
      <c r="D42" s="5">
        <v>7.9596999999999998</v>
      </c>
      <c r="E42" s="2" t="s">
        <v>115</v>
      </c>
      <c r="F42" s="2" t="s">
        <v>149</v>
      </c>
    </row>
    <row r="43" spans="1:6" ht="15">
      <c r="A43" s="2" t="s">
        <v>73</v>
      </c>
      <c r="B43" s="2" t="s">
        <v>119</v>
      </c>
      <c r="C43" s="2" t="s">
        <v>120</v>
      </c>
      <c r="D43" s="5">
        <v>47.95</v>
      </c>
      <c r="E43" s="2" t="s">
        <v>89</v>
      </c>
      <c r="F43" s="2" t="s">
        <v>121</v>
      </c>
    </row>
    <row r="44" spans="1:6" ht="30">
      <c r="A44" s="2" t="s">
        <v>79</v>
      </c>
      <c r="B44" s="2" t="s">
        <v>35</v>
      </c>
      <c r="C44" s="2" t="s">
        <v>88</v>
      </c>
      <c r="D44" s="5">
        <v>12.88</v>
      </c>
      <c r="E44" s="2" t="s">
        <v>89</v>
      </c>
      <c r="F44" s="2" t="s">
        <v>90</v>
      </c>
    </row>
    <row r="45" spans="1:6" ht="15">
      <c r="A45" s="2" t="s">
        <v>79</v>
      </c>
      <c r="B45" s="2" t="s">
        <v>35</v>
      </c>
      <c r="C45" s="2" t="s">
        <v>93</v>
      </c>
      <c r="D45" s="5">
        <v>20.67</v>
      </c>
      <c r="E45" s="2" t="s">
        <v>89</v>
      </c>
      <c r="F45" s="2" t="s">
        <v>150</v>
      </c>
    </row>
    <row r="46" spans="1:6" ht="15">
      <c r="A46" s="2" t="s">
        <v>79</v>
      </c>
      <c r="B46" s="2" t="s">
        <v>35</v>
      </c>
      <c r="C46" s="2" t="s">
        <v>97</v>
      </c>
      <c r="D46" s="5">
        <v>6.86</v>
      </c>
      <c r="E46" s="2" t="s">
        <v>89</v>
      </c>
      <c r="F46" s="2" t="s">
        <v>151</v>
      </c>
    </row>
    <row r="47" spans="1:6" ht="15">
      <c r="A47" s="2" t="s">
        <v>79</v>
      </c>
      <c r="B47" s="2" t="s">
        <v>103</v>
      </c>
      <c r="C47" s="2" t="s">
        <v>104</v>
      </c>
      <c r="D47" s="5">
        <v>12.88</v>
      </c>
      <c r="E47" s="2" t="s">
        <v>89</v>
      </c>
      <c r="F47" s="2" t="s">
        <v>105</v>
      </c>
    </row>
    <row r="48" spans="1:6" ht="15">
      <c r="A48" s="2" t="s">
        <v>79</v>
      </c>
      <c r="B48" s="2" t="s">
        <v>103</v>
      </c>
      <c r="C48" s="2" t="s">
        <v>108</v>
      </c>
      <c r="D48" s="5">
        <v>20.67</v>
      </c>
      <c r="E48" s="2" t="s">
        <v>89</v>
      </c>
      <c r="F48" s="2" t="s">
        <v>152</v>
      </c>
    </row>
    <row r="49" spans="1:6" ht="15">
      <c r="A49" s="2" t="s">
        <v>79</v>
      </c>
      <c r="B49" s="2" t="s">
        <v>103</v>
      </c>
      <c r="C49" s="2" t="s">
        <v>110</v>
      </c>
      <c r="D49" s="5">
        <v>6.86</v>
      </c>
      <c r="E49" s="2" t="s">
        <v>89</v>
      </c>
      <c r="F49" s="2" t="s">
        <v>153</v>
      </c>
    </row>
    <row r="50" spans="1:6" ht="30">
      <c r="A50" s="2" t="s">
        <v>79</v>
      </c>
      <c r="B50" s="2" t="s">
        <v>113</v>
      </c>
      <c r="C50" s="2" t="s">
        <v>114</v>
      </c>
      <c r="D50" s="5">
        <v>32.073799999999999</v>
      </c>
      <c r="E50" s="2" t="s">
        <v>115</v>
      </c>
      <c r="F50" s="2" t="s">
        <v>154</v>
      </c>
    </row>
    <row r="51" spans="1:6" ht="15">
      <c r="A51" s="2" t="s">
        <v>79</v>
      </c>
      <c r="B51" s="2" t="s">
        <v>113</v>
      </c>
      <c r="C51" s="2" t="s">
        <v>117</v>
      </c>
      <c r="D51" s="5">
        <v>201.3</v>
      </c>
      <c r="E51" s="2" t="s">
        <v>115</v>
      </c>
      <c r="F51" s="2" t="s">
        <v>155</v>
      </c>
    </row>
    <row r="52" spans="1:6" ht="15">
      <c r="A52" s="2" t="s">
        <v>79</v>
      </c>
      <c r="B52" s="2" t="s">
        <v>119</v>
      </c>
      <c r="C52" s="2" t="s">
        <v>120</v>
      </c>
      <c r="D52" s="5">
        <v>40.409999999999997</v>
      </c>
      <c r="E52" s="2" t="s">
        <v>89</v>
      </c>
      <c r="F52" s="2" t="s">
        <v>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/>
  </sheetViews>
  <sheetFormatPr baseColWidth="10" defaultColWidth="8.83203125" defaultRowHeight="14"/>
  <cols>
    <col min="1" max="1" width="10" customWidth="1"/>
    <col min="2" max="2" width="18" customWidth="1"/>
    <col min="3" max="4" width="20" customWidth="1"/>
    <col min="5" max="5" width="22" customWidth="1"/>
    <col min="6" max="6" width="14" customWidth="1"/>
    <col min="7" max="7" width="95" customWidth="1"/>
  </cols>
  <sheetData>
    <row r="1" spans="1:7" ht="16">
      <c r="A1" s="3" t="s">
        <v>31</v>
      </c>
      <c r="B1" s="3" t="s">
        <v>156</v>
      </c>
      <c r="C1" s="3" t="s">
        <v>157</v>
      </c>
      <c r="D1" s="3" t="s">
        <v>158</v>
      </c>
      <c r="E1" s="3" t="s">
        <v>159</v>
      </c>
      <c r="F1" s="3" t="s">
        <v>160</v>
      </c>
      <c r="G1" s="3" t="s">
        <v>161</v>
      </c>
    </row>
    <row r="2" spans="1:7" ht="15">
      <c r="A2" s="2" t="s">
        <v>39</v>
      </c>
      <c r="B2" s="6">
        <v>20000</v>
      </c>
      <c r="C2" s="6">
        <v>1146</v>
      </c>
      <c r="D2" s="6">
        <v>306</v>
      </c>
      <c r="E2" s="6">
        <v>17.533799999999999</v>
      </c>
      <c r="F2" s="6">
        <v>57.258000000000003</v>
      </c>
      <c r="G2" s="2" t="s">
        <v>120</v>
      </c>
    </row>
    <row r="3" spans="1:7" ht="15">
      <c r="A3" s="2" t="s">
        <v>61</v>
      </c>
      <c r="B3" s="6">
        <v>21000</v>
      </c>
      <c r="C3" s="6">
        <v>1292.3399999999999</v>
      </c>
      <c r="D3" s="6">
        <v>6</v>
      </c>
      <c r="E3" s="6">
        <v>0.36924000000000001</v>
      </c>
      <c r="F3" s="6">
        <v>61.04</v>
      </c>
      <c r="G3" s="2" t="s">
        <v>120</v>
      </c>
    </row>
    <row r="4" spans="1:7" ht="15">
      <c r="A4" s="2" t="s">
        <v>73</v>
      </c>
      <c r="B4" s="6">
        <v>8500</v>
      </c>
      <c r="C4" s="6">
        <v>407.57499999999999</v>
      </c>
      <c r="D4" s="6">
        <v>166</v>
      </c>
      <c r="E4" s="6">
        <v>7.9596999999999998</v>
      </c>
      <c r="F4" s="6">
        <v>47.95</v>
      </c>
      <c r="G4" s="2" t="s">
        <v>120</v>
      </c>
    </row>
    <row r="5" spans="1:7" ht="15">
      <c r="A5" s="2" t="s">
        <v>79</v>
      </c>
      <c r="B5" s="6">
        <v>6000</v>
      </c>
      <c r="C5" s="6">
        <v>201.3</v>
      </c>
      <c r="D5" s="6">
        <v>956</v>
      </c>
      <c r="E5" s="6">
        <v>32.073799999999999</v>
      </c>
      <c r="F5" s="6">
        <v>40.409999999999997</v>
      </c>
      <c r="G5" s="2" t="s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"/>
  <sheetViews>
    <sheetView workbookViewId="0"/>
  </sheetViews>
  <sheetFormatPr baseColWidth="10" defaultColWidth="8.83203125" defaultRowHeight="14"/>
  <cols>
    <col min="1" max="1" width="10" customWidth="1"/>
    <col min="2" max="4" width="18" customWidth="1"/>
    <col min="5" max="5" width="24" customWidth="1"/>
    <col min="6" max="6" width="20" customWidth="1"/>
    <col min="7" max="7" width="22" customWidth="1"/>
  </cols>
  <sheetData>
    <row r="1" spans="1:7" ht="32">
      <c r="A1" s="3" t="s">
        <v>31</v>
      </c>
      <c r="B1" s="3" t="s">
        <v>162</v>
      </c>
      <c r="C1" s="3" t="s">
        <v>163</v>
      </c>
      <c r="D1" s="3" t="s">
        <v>164</v>
      </c>
      <c r="E1" s="3" t="s">
        <v>165</v>
      </c>
      <c r="F1" s="3" t="s">
        <v>166</v>
      </c>
      <c r="G1" s="3" t="s">
        <v>167</v>
      </c>
    </row>
    <row r="2" spans="1:7">
      <c r="A2" t="s">
        <v>39</v>
      </c>
      <c r="B2" s="7">
        <v>0.441</v>
      </c>
      <c r="C2" s="7">
        <v>0.44900000000000001</v>
      </c>
      <c r="D2" s="12">
        <v>0.44513059999999999</v>
      </c>
      <c r="E2" s="8">
        <f>ABS(B2-C2)/AVERAGE(B2:C2)*100</f>
        <v>1.7977528089887655</v>
      </c>
      <c r="F2">
        <f>RANK(D2,$D$2:$D$5,1)</f>
        <v>3</v>
      </c>
      <c r="G2" s="9">
        <v>11.5</v>
      </c>
    </row>
    <row r="3" spans="1:7">
      <c r="A3" t="s">
        <v>61</v>
      </c>
      <c r="B3" s="7">
        <v>0.61299999999999999</v>
      </c>
      <c r="C3" s="7">
        <v>0.60599999999999998</v>
      </c>
      <c r="D3" s="12">
        <v>0.60971529999999996</v>
      </c>
      <c r="E3" s="8">
        <f>ABS(B3-C3)/AVERAGE(B3:C3)*100</f>
        <v>1.1484823625922898</v>
      </c>
      <c r="F3">
        <f>RANK(D3,$D$2:$D$5,1)</f>
        <v>4</v>
      </c>
      <c r="G3" s="9">
        <v>19.399999999999999</v>
      </c>
    </row>
    <row r="4" spans="1:7">
      <c r="A4" t="s">
        <v>73</v>
      </c>
      <c r="B4" s="7">
        <v>0.39400000000000002</v>
      </c>
      <c r="C4" s="7">
        <v>0.38300000000000001</v>
      </c>
      <c r="D4" s="12">
        <v>0.38841409999999998</v>
      </c>
      <c r="E4" s="8">
        <f>ABS(B4-C4)/AVERAGE(B4:C4)*100</f>
        <v>2.8314028314028339</v>
      </c>
      <c r="F4">
        <f>RANK(D4,$D$2:$D$5,1)</f>
        <v>2</v>
      </c>
      <c r="G4" s="9">
        <v>14</v>
      </c>
    </row>
    <row r="5" spans="1:7">
      <c r="A5" t="s">
        <v>79</v>
      </c>
      <c r="B5" s="7">
        <v>0.32400000000000001</v>
      </c>
      <c r="C5" s="7">
        <v>0.32400000000000001</v>
      </c>
      <c r="D5" s="12">
        <v>0.32398389999999999</v>
      </c>
      <c r="E5" s="8">
        <f>ABS(B5-C5)/AVERAGE(B5:C5)*100</f>
        <v>0</v>
      </c>
      <c r="F5">
        <f>RANK(D5,$D$2:$D$5,1)</f>
        <v>1</v>
      </c>
      <c r="G5" s="9">
        <v>21.2</v>
      </c>
    </row>
    <row r="7" spans="1:7" ht="15">
      <c r="A7" s="14" t="s">
        <v>38</v>
      </c>
      <c r="B7" s="14"/>
      <c r="C7" s="14"/>
      <c r="D7" s="14"/>
      <c r="E7" s="14"/>
      <c r="F7" s="14"/>
      <c r="G7" s="14"/>
    </row>
    <row r="8" spans="1:7" ht="15">
      <c r="A8" s="15" t="s">
        <v>168</v>
      </c>
      <c r="B8" s="15"/>
      <c r="C8" s="15"/>
      <c r="D8" s="15"/>
      <c r="E8" s="15"/>
      <c r="F8" s="15"/>
      <c r="G8" s="15"/>
    </row>
  </sheetData>
  <mergeCells count="2">
    <mergeCell ref="A7:G7"/>
    <mergeCell ref="A8:G8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/>
  </sheetViews>
  <sheetFormatPr baseColWidth="10" defaultColWidth="8.83203125" defaultRowHeight="14"/>
  <cols>
    <col min="1" max="1" width="10" customWidth="1"/>
    <col min="2" max="2" width="22" customWidth="1"/>
    <col min="3" max="5" width="18" customWidth="1"/>
    <col min="6" max="6" width="14" customWidth="1"/>
  </cols>
  <sheetData>
    <row r="1" spans="1:6" ht="16">
      <c r="A1" s="3" t="s">
        <v>31</v>
      </c>
      <c r="B1" s="3" t="s">
        <v>169</v>
      </c>
      <c r="C1" s="3" t="s">
        <v>170</v>
      </c>
      <c r="D1" s="3" t="s">
        <v>171</v>
      </c>
      <c r="E1" s="3" t="s">
        <v>172</v>
      </c>
      <c r="F1" s="3" t="s">
        <v>173</v>
      </c>
    </row>
    <row r="2" spans="1:6">
      <c r="A2" t="s">
        <v>39</v>
      </c>
      <c r="B2" s="8">
        <v>51.3</v>
      </c>
      <c r="C2" s="8">
        <v>14.6</v>
      </c>
      <c r="D2" s="8">
        <v>3.4</v>
      </c>
      <c r="E2" s="8">
        <v>30.5</v>
      </c>
      <c r="F2" s="8">
        <f>SUM(B2:E2)</f>
        <v>99.8</v>
      </c>
    </row>
    <row r="3" spans="1:6">
      <c r="A3" t="s">
        <v>61</v>
      </c>
      <c r="B3" s="8">
        <v>62.9</v>
      </c>
      <c r="C3" s="8">
        <v>10.9</v>
      </c>
      <c r="D3" s="8">
        <v>2.2000000000000002</v>
      </c>
      <c r="E3" s="8">
        <v>23.8</v>
      </c>
      <c r="F3" s="8">
        <f>SUM(B3:E3)</f>
        <v>99.8</v>
      </c>
    </row>
    <row r="4" spans="1:6">
      <c r="A4" t="s">
        <v>73</v>
      </c>
      <c r="B4" s="8">
        <v>56.4</v>
      </c>
      <c r="C4" s="8">
        <v>12.7</v>
      </c>
      <c r="D4" s="8">
        <v>1.4</v>
      </c>
      <c r="E4" s="8">
        <v>29.3</v>
      </c>
      <c r="F4" s="8">
        <f>SUM(B4:E4)</f>
        <v>99.8</v>
      </c>
    </row>
    <row r="5" spans="1:6">
      <c r="A5" t="s">
        <v>79</v>
      </c>
      <c r="B5" s="8">
        <v>53</v>
      </c>
      <c r="C5" s="8">
        <v>14.9</v>
      </c>
      <c r="D5" s="8">
        <v>2.9</v>
      </c>
      <c r="E5" s="8">
        <v>29</v>
      </c>
      <c r="F5" s="8">
        <f>SUM(B5:E5)</f>
        <v>99.800000000000011</v>
      </c>
    </row>
    <row r="7" spans="1:6" ht="15">
      <c r="A7" s="14" t="s">
        <v>174</v>
      </c>
      <c r="B7" s="14"/>
      <c r="C7" s="14"/>
      <c r="D7" s="14"/>
      <c r="E7" s="14"/>
      <c r="F7" s="14"/>
    </row>
    <row r="8" spans="1:6" ht="15">
      <c r="A8" s="15" t="s">
        <v>175</v>
      </c>
      <c r="B8" s="15"/>
      <c r="C8" s="15"/>
      <c r="D8" s="15"/>
      <c r="E8" s="15"/>
      <c r="F8" s="15"/>
    </row>
  </sheetData>
  <mergeCells count="2">
    <mergeCell ref="A7:F7"/>
    <mergeCell ref="A8:F8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"/>
  <sheetViews>
    <sheetView workbookViewId="0"/>
  </sheetViews>
  <sheetFormatPr baseColWidth="10" defaultColWidth="8.83203125" defaultRowHeight="14"/>
  <cols>
    <col min="1" max="1" width="24" customWidth="1"/>
    <col min="2" max="2" width="52" customWidth="1"/>
    <col min="3" max="6" width="15" customWidth="1"/>
    <col min="7" max="8" width="18" customWidth="1"/>
  </cols>
  <sheetData>
    <row r="1" spans="1:8" ht="16">
      <c r="A1" s="3" t="s">
        <v>176</v>
      </c>
      <c r="B1" s="3" t="s">
        <v>177</v>
      </c>
      <c r="C1" s="3" t="s">
        <v>178</v>
      </c>
      <c r="D1" s="3" t="s">
        <v>179</v>
      </c>
      <c r="E1" s="3" t="s">
        <v>180</v>
      </c>
      <c r="F1" s="3" t="s">
        <v>181</v>
      </c>
      <c r="G1" s="3" t="s">
        <v>182</v>
      </c>
      <c r="H1" s="3" t="s">
        <v>183</v>
      </c>
    </row>
    <row r="2" spans="1:8" ht="15">
      <c r="A2" s="2" t="s">
        <v>184</v>
      </c>
      <c r="B2" s="2" t="s">
        <v>185</v>
      </c>
      <c r="C2" s="4">
        <v>0.44500000000000001</v>
      </c>
      <c r="D2" s="4">
        <v>0.61</v>
      </c>
      <c r="E2" s="4">
        <v>0.38800000000000001</v>
      </c>
      <c r="F2" s="4">
        <v>0.32400000000000001</v>
      </c>
      <c r="G2" s="2" t="s">
        <v>186</v>
      </c>
      <c r="H2" s="2" t="s">
        <v>33</v>
      </c>
    </row>
    <row r="3" spans="1:8" ht="15">
      <c r="A3" s="2" t="s">
        <v>187</v>
      </c>
      <c r="B3" s="2" t="s">
        <v>188</v>
      </c>
      <c r="C3" s="4">
        <v>0.45300000000000001</v>
      </c>
      <c r="D3" s="4">
        <v>0.61599999999999999</v>
      </c>
      <c r="E3" s="4">
        <v>0.39100000000000001</v>
      </c>
      <c r="F3" s="4">
        <v>0.32900000000000001</v>
      </c>
      <c r="G3" s="2" t="s">
        <v>186</v>
      </c>
      <c r="H3" s="2" t="s">
        <v>189</v>
      </c>
    </row>
    <row r="4" spans="1:8" ht="15">
      <c r="A4" s="2" t="s">
        <v>190</v>
      </c>
      <c r="B4" s="2" t="s">
        <v>191</v>
      </c>
      <c r="C4" s="4">
        <v>0.438</v>
      </c>
      <c r="D4" s="4">
        <v>0.60299999999999998</v>
      </c>
      <c r="E4" s="4">
        <v>0.38600000000000001</v>
      </c>
      <c r="F4" s="4">
        <v>0.31900000000000001</v>
      </c>
      <c r="G4" s="2" t="s">
        <v>186</v>
      </c>
      <c r="H4" s="2" t="s">
        <v>189</v>
      </c>
    </row>
    <row r="5" spans="1:8" ht="15">
      <c r="A5" s="2" t="s">
        <v>192</v>
      </c>
      <c r="B5" s="2" t="s">
        <v>193</v>
      </c>
      <c r="C5" s="4">
        <v>0.49099999999999999</v>
      </c>
      <c r="D5" s="4">
        <v>0.68600000000000005</v>
      </c>
      <c r="E5" s="4">
        <v>0.432</v>
      </c>
      <c r="F5" s="4">
        <v>0.35799999999999998</v>
      </c>
      <c r="G5" s="2" t="s">
        <v>186</v>
      </c>
      <c r="H5" s="2" t="s">
        <v>189</v>
      </c>
    </row>
    <row r="6" spans="1:8" ht="15">
      <c r="A6" s="2" t="s">
        <v>194</v>
      </c>
      <c r="B6" s="2" t="s">
        <v>195</v>
      </c>
      <c r="C6" s="4">
        <v>0.39900000000000002</v>
      </c>
      <c r="D6" s="4">
        <v>0.53300000000000003</v>
      </c>
      <c r="E6" s="4">
        <v>0.34499999999999997</v>
      </c>
      <c r="F6" s="4">
        <v>0.28999999999999998</v>
      </c>
      <c r="G6" s="2" t="s">
        <v>186</v>
      </c>
      <c r="H6" s="2" t="s">
        <v>189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workbookViewId="0"/>
  </sheetViews>
  <sheetFormatPr baseColWidth="10" defaultColWidth="8.83203125" defaultRowHeight="14"/>
  <cols>
    <col min="1" max="2" width="16" customWidth="1"/>
    <col min="3" max="6" width="14" customWidth="1"/>
    <col min="7" max="7" width="26" customWidth="1"/>
    <col min="9" max="13" width="18" customWidth="1"/>
  </cols>
  <sheetData>
    <row r="1" spans="1:13" ht="16">
      <c r="A1" s="3" t="s">
        <v>196</v>
      </c>
      <c r="B1" s="3" t="s">
        <v>197</v>
      </c>
      <c r="C1" s="3" t="s">
        <v>198</v>
      </c>
      <c r="D1" s="3" t="s">
        <v>199</v>
      </c>
      <c r="E1" s="3" t="s">
        <v>200</v>
      </c>
      <c r="F1" s="3" t="s">
        <v>201</v>
      </c>
      <c r="G1" s="3" t="s">
        <v>202</v>
      </c>
      <c r="I1" s="3" t="s">
        <v>31</v>
      </c>
      <c r="J1" s="3" t="s">
        <v>39</v>
      </c>
      <c r="K1" s="3" t="s">
        <v>61</v>
      </c>
      <c r="L1" s="3" t="s">
        <v>73</v>
      </c>
      <c r="M1" s="3" t="s">
        <v>79</v>
      </c>
    </row>
    <row r="2" spans="1:13">
      <c r="A2" s="10">
        <v>1</v>
      </c>
      <c r="B2" s="10">
        <v>0</v>
      </c>
      <c r="C2" s="7">
        <f t="shared" ref="C2:F6" si="0">$A2*J$5+$B2*J$4</f>
        <v>0</v>
      </c>
      <c r="D2" s="7">
        <f t="shared" si="0"/>
        <v>0.81443298969072153</v>
      </c>
      <c r="E2" s="7">
        <f t="shared" si="0"/>
        <v>0.25773195876288663</v>
      </c>
      <c r="F2" s="7">
        <f t="shared" si="0"/>
        <v>1</v>
      </c>
      <c r="G2" t="s">
        <v>203</v>
      </c>
      <c r="I2" t="s">
        <v>204</v>
      </c>
      <c r="J2" s="7">
        <f>Carbon_results!D2</f>
        <v>0.44513059999999999</v>
      </c>
      <c r="K2" s="7">
        <f>Carbon_results!D3</f>
        <v>0.60971529999999996</v>
      </c>
      <c r="L2" s="7">
        <f>Carbon_results!D4</f>
        <v>0.38841409999999998</v>
      </c>
      <c r="M2" s="7">
        <f>Carbon_results!D5</f>
        <v>0.32398389999999999</v>
      </c>
    </row>
    <row r="3" spans="1:13">
      <c r="A3" s="10">
        <v>0.75</v>
      </c>
      <c r="B3" s="10">
        <v>0.25</v>
      </c>
      <c r="C3" s="7">
        <f t="shared" si="0"/>
        <v>0.10599701327890459</v>
      </c>
      <c r="D3" s="7">
        <f t="shared" si="0"/>
        <v>0.86082474226804118</v>
      </c>
      <c r="E3" s="7">
        <f t="shared" si="0"/>
        <v>0.24967201732657454</v>
      </c>
      <c r="F3" s="7">
        <f t="shared" si="0"/>
        <v>0.75</v>
      </c>
      <c r="G3" t="s">
        <v>205</v>
      </c>
      <c r="I3" t="s">
        <v>206</v>
      </c>
      <c r="J3" s="7">
        <f>Carbon_results!G2</f>
        <v>11.5</v>
      </c>
      <c r="K3" s="7">
        <f>Carbon_results!G3</f>
        <v>19.399999999999999</v>
      </c>
      <c r="L3" s="7">
        <f>Carbon_results!G4</f>
        <v>14</v>
      </c>
      <c r="M3" s="7">
        <f>Carbon_results!G5</f>
        <v>21.2</v>
      </c>
    </row>
    <row r="4" spans="1:13">
      <c r="A4" s="10">
        <v>0.5</v>
      </c>
      <c r="B4" s="10">
        <v>0.5</v>
      </c>
      <c r="C4" s="7">
        <f t="shared" si="0"/>
        <v>0.21199402655780919</v>
      </c>
      <c r="D4" s="7">
        <f t="shared" si="0"/>
        <v>0.90721649484536071</v>
      </c>
      <c r="E4" s="7">
        <f t="shared" si="0"/>
        <v>0.24161207589026243</v>
      </c>
      <c r="F4" s="7">
        <f t="shared" si="0"/>
        <v>0.5</v>
      </c>
      <c r="G4" t="s">
        <v>205</v>
      </c>
      <c r="I4" t="s">
        <v>207</v>
      </c>
      <c r="J4" s="7">
        <f>(J2-MIN($J$2:$M$2))/(MAX($J$2:$M$2)-MIN($J$2:$M$2))</f>
        <v>0.42398805311561838</v>
      </c>
      <c r="K4" s="7">
        <f>(K2-MIN($J$2:$M$2))/(MAX($J$2:$M$2)-MIN($J$2:$M$2))</f>
        <v>1</v>
      </c>
      <c r="L4" s="7">
        <f>(L2-MIN($J$2:$M$2))/(MAX($J$2:$M$2)-MIN($J$2:$M$2))</f>
        <v>0.22549219301763823</v>
      </c>
      <c r="M4" s="7">
        <f>(M2-MIN($J$2:$M$2))/(MAX($J$2:$M$2)-MIN($J$2:$M$2))</f>
        <v>0</v>
      </c>
    </row>
    <row r="5" spans="1:13">
      <c r="A5" s="10">
        <v>0.25</v>
      </c>
      <c r="B5" s="10">
        <v>0.75</v>
      </c>
      <c r="C5" s="7">
        <f t="shared" si="0"/>
        <v>0.31799103983671378</v>
      </c>
      <c r="D5" s="7">
        <f t="shared" si="0"/>
        <v>0.95360824742268036</v>
      </c>
      <c r="E5" s="7">
        <f t="shared" si="0"/>
        <v>0.23355213445395034</v>
      </c>
      <c r="F5" s="7">
        <f t="shared" si="0"/>
        <v>0.25</v>
      </c>
      <c r="G5" t="s">
        <v>208</v>
      </c>
      <c r="I5" t="s">
        <v>209</v>
      </c>
      <c r="J5" s="7">
        <f>(J3-MIN($J$3:$M$3))/(MAX($J$3:$M$3)-MIN($J$3:$M$3))</f>
        <v>0</v>
      </c>
      <c r="K5" s="7">
        <f>(K3-MIN($J$3:$M$3))/(MAX($J$3:$M$3)-MIN($J$3:$M$3))</f>
        <v>0.81443298969072153</v>
      </c>
      <c r="L5" s="7">
        <f>(L3-MIN($J$3:$M$3))/(MAX($J$3:$M$3)-MIN($J$3:$M$3))</f>
        <v>0.25773195876288663</v>
      </c>
      <c r="M5" s="7">
        <f>(M3-MIN($J$3:$M$3))/(MAX($J$3:$M$3)-MIN($J$3:$M$3))</f>
        <v>1</v>
      </c>
    </row>
    <row r="6" spans="1:13">
      <c r="A6" s="10">
        <v>0</v>
      </c>
      <c r="B6" s="10">
        <v>1</v>
      </c>
      <c r="C6" s="7">
        <f t="shared" si="0"/>
        <v>0.42398805311561838</v>
      </c>
      <c r="D6" s="7">
        <f t="shared" si="0"/>
        <v>1</v>
      </c>
      <c r="E6" s="7">
        <f t="shared" si="0"/>
        <v>0.22549219301763823</v>
      </c>
      <c r="F6" s="7">
        <f t="shared" si="0"/>
        <v>0</v>
      </c>
      <c r="G6" t="s">
        <v>186</v>
      </c>
    </row>
    <row r="8" spans="1:13" ht="15">
      <c r="A8" s="14" t="s">
        <v>210</v>
      </c>
      <c r="B8" s="14"/>
      <c r="C8" s="14"/>
      <c r="D8" s="14"/>
      <c r="E8" s="14"/>
      <c r="F8" s="14"/>
      <c r="G8" s="14"/>
    </row>
    <row r="9" spans="1:13" ht="15">
      <c r="A9" s="15" t="s">
        <v>211</v>
      </c>
      <c r="B9" s="15"/>
      <c r="C9" s="15"/>
      <c r="D9" s="15"/>
      <c r="E9" s="15"/>
      <c r="F9" s="15"/>
      <c r="G9" s="15"/>
    </row>
  </sheetData>
  <mergeCells count="2">
    <mergeCell ref="A8:G8"/>
    <mergeCell ref="A9:G9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tabSelected="1" workbookViewId="0"/>
  </sheetViews>
  <sheetFormatPr baseColWidth="10" defaultColWidth="8.83203125" defaultRowHeight="14"/>
  <cols>
    <col min="1" max="1" width="10" customWidth="1"/>
    <col min="2" max="2" width="25" customWidth="1"/>
    <col min="3" max="3" width="24" customWidth="1"/>
    <col min="4" max="4" width="22" customWidth="1"/>
    <col min="5" max="5" width="28" customWidth="1"/>
  </cols>
  <sheetData>
    <row r="1" spans="1:5" ht="16">
      <c r="A1" s="3" t="s">
        <v>31</v>
      </c>
      <c r="B1" s="3" t="s">
        <v>212</v>
      </c>
      <c r="C1" s="3" t="s">
        <v>213</v>
      </c>
      <c r="D1" s="3" t="s">
        <v>214</v>
      </c>
      <c r="E1" s="3" t="s">
        <v>215</v>
      </c>
    </row>
    <row r="2" spans="1:5">
      <c r="A2" t="s">
        <v>39</v>
      </c>
      <c r="B2" s="7">
        <f>Carbon_results!D2</f>
        <v>0.44513059999999999</v>
      </c>
      <c r="C2">
        <v>8000</v>
      </c>
      <c r="D2" s="10">
        <v>0.4</v>
      </c>
      <c r="E2" s="11">
        <f>B2*C2*D2</f>
        <v>1424.4179200000001</v>
      </c>
    </row>
    <row r="3" spans="1:5">
      <c r="A3" t="s">
        <v>61</v>
      </c>
      <c r="B3" s="7">
        <f>Carbon_results!D3</f>
        <v>0.60971529999999996</v>
      </c>
      <c r="C3">
        <v>8000</v>
      </c>
      <c r="D3" s="10">
        <v>0.4</v>
      </c>
      <c r="E3" s="11">
        <f>B3*C3*D3</f>
        <v>1951.08896</v>
      </c>
    </row>
    <row r="4" spans="1:5">
      <c r="A4" t="s">
        <v>73</v>
      </c>
      <c r="B4" s="7">
        <f>Carbon_results!D4</f>
        <v>0.38841409999999998</v>
      </c>
      <c r="C4">
        <v>8000</v>
      </c>
      <c r="D4" s="10">
        <v>0.4</v>
      </c>
      <c r="E4" s="11">
        <f>B4*C4*D4</f>
        <v>1242.9251199999999</v>
      </c>
    </row>
    <row r="5" spans="1:5">
      <c r="A5" t="s">
        <v>79</v>
      </c>
      <c r="B5" s="7">
        <f>Carbon_results!D5</f>
        <v>0.32398389999999999</v>
      </c>
      <c r="C5">
        <v>8000</v>
      </c>
      <c r="D5" s="10">
        <v>0.4</v>
      </c>
      <c r="E5" s="11">
        <f>B5*C5*D5</f>
        <v>1036.74848</v>
      </c>
    </row>
    <row r="7" spans="1:5" ht="15">
      <c r="A7" s="14" t="s">
        <v>216</v>
      </c>
      <c r="B7" s="14"/>
      <c r="C7" s="14"/>
      <c r="D7" s="14"/>
      <c r="E7" s="14"/>
    </row>
    <row r="8" spans="1:5" ht="15">
      <c r="A8" s="15" t="s">
        <v>217</v>
      </c>
      <c r="B8" s="15"/>
      <c r="C8" s="15"/>
      <c r="D8" s="15"/>
      <c r="E8" s="15"/>
    </row>
  </sheetData>
  <mergeCells count="2">
    <mergeCell ref="A7:E7"/>
    <mergeCell ref="A8:E8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/>
  </sheetViews>
  <sheetFormatPr baseColWidth="10" defaultColWidth="8.83203125" defaultRowHeight="14"/>
  <cols>
    <col min="1" max="1" width="25" customWidth="1"/>
    <col min="2" max="2" width="32" customWidth="1"/>
    <col min="3" max="3" width="95" customWidth="1"/>
  </cols>
  <sheetData>
    <row r="1" spans="1:3" ht="16">
      <c r="A1" s="3" t="s">
        <v>218</v>
      </c>
      <c r="B1" s="3" t="s">
        <v>219</v>
      </c>
      <c r="C1" s="3" t="s">
        <v>220</v>
      </c>
    </row>
    <row r="2" spans="1:3" ht="30">
      <c r="A2" s="2" t="s">
        <v>221</v>
      </c>
      <c r="B2" s="2" t="s">
        <v>36</v>
      </c>
      <c r="C2" s="2" t="s">
        <v>222</v>
      </c>
    </row>
    <row r="3" spans="1:3" ht="15">
      <c r="A3" s="2" t="s">
        <v>221</v>
      </c>
      <c r="B3" s="2" t="s">
        <v>37</v>
      </c>
      <c r="C3" s="2" t="s">
        <v>223</v>
      </c>
    </row>
    <row r="4" spans="1:3" ht="30">
      <c r="A4" s="2" t="s">
        <v>224</v>
      </c>
      <c r="B4" s="2" t="s">
        <v>84</v>
      </c>
      <c r="C4" s="2" t="s">
        <v>225</v>
      </c>
    </row>
    <row r="5" spans="1:3" ht="15">
      <c r="A5" s="2" t="s">
        <v>224</v>
      </c>
      <c r="B5" s="2" t="s">
        <v>85</v>
      </c>
      <c r="C5" s="2" t="s">
        <v>226</v>
      </c>
    </row>
    <row r="6" spans="1:3" ht="30">
      <c r="A6" s="2" t="s">
        <v>227</v>
      </c>
      <c r="B6" s="2" t="s">
        <v>228</v>
      </c>
      <c r="C6" s="2" t="s">
        <v>229</v>
      </c>
    </row>
    <row r="7" spans="1:3" ht="30">
      <c r="A7" s="2" t="s">
        <v>230</v>
      </c>
      <c r="B7" s="2" t="s">
        <v>164</v>
      </c>
      <c r="C7" s="2" t="s">
        <v>231</v>
      </c>
    </row>
    <row r="8" spans="1:3" ht="15">
      <c r="A8" s="2" t="s">
        <v>230</v>
      </c>
      <c r="B8" s="2" t="s">
        <v>165</v>
      </c>
      <c r="C8" s="2" t="s">
        <v>232</v>
      </c>
    </row>
    <row r="9" spans="1:3" ht="15">
      <c r="A9" s="2" t="s">
        <v>233</v>
      </c>
      <c r="B9" s="2" t="s">
        <v>234</v>
      </c>
      <c r="C9" s="2" t="s">
        <v>235</v>
      </c>
    </row>
    <row r="10" spans="1:3" ht="15">
      <c r="A10" s="2" t="s">
        <v>236</v>
      </c>
      <c r="B10" s="2" t="s">
        <v>237</v>
      </c>
      <c r="C10" s="2" t="s">
        <v>238</v>
      </c>
    </row>
    <row r="11" spans="1:3" ht="15">
      <c r="A11" s="2" t="s">
        <v>239</v>
      </c>
      <c r="B11" s="2" t="s">
        <v>240</v>
      </c>
      <c r="C11" s="2" t="s">
        <v>241</v>
      </c>
    </row>
    <row r="12" spans="1:3" ht="30">
      <c r="A12" s="2" t="s">
        <v>239</v>
      </c>
      <c r="B12" s="2" t="s">
        <v>242</v>
      </c>
      <c r="C12" s="2" t="s">
        <v>243</v>
      </c>
    </row>
    <row r="13" spans="1:3" ht="15">
      <c r="A13" s="2" t="s">
        <v>244</v>
      </c>
      <c r="B13" s="2" t="s">
        <v>215</v>
      </c>
      <c r="C13" s="2" t="s">
        <v>245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README</vt:lpstr>
      <vt:lpstr>Physical_inventory</vt:lpstr>
      <vt:lpstr>Foreground_LCI</vt:lpstr>
      <vt:lpstr>Transport_EOL</vt:lpstr>
      <vt:lpstr>Carbon_results</vt:lpstr>
      <vt:lpstr>Stage_contributions</vt:lpstr>
      <vt:lpstr>Sensitivity</vt:lpstr>
      <vt:lpstr>MCDA</vt:lpstr>
      <vt:lpstr>Institutional_scenario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MARIA LORENZO-ZUÑIGA GARCIA</cp:lastModifiedBy>
  <dcterms:created xsi:type="dcterms:W3CDTF">2026-09-27T16:31:30Z</dcterms:created>
  <dcterms:modified xsi:type="dcterms:W3CDTF">2026-09-27T16:31:30Z</dcterms:modified>
</cp:coreProperties>
</file>